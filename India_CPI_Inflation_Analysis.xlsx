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jal\Downloads\"/>
    </mc:Choice>
  </mc:AlternateContent>
  <xr:revisionPtr revIDLastSave="0" documentId="8_{3DA5FA4E-0D81-4552-B0CD-91E5D65FE3E3}" xr6:coauthVersionLast="47" xr6:coauthVersionMax="47" xr10:uidLastSave="{00000000-0000-0000-0000-000000000000}"/>
  <bookViews>
    <workbookView xWindow="-108" yWindow="-108" windowWidth="23256" windowHeight="12456" xr2:uid="{179108B2-194D-4FAD-9183-E3FF1CF6C7BB}"/>
  </bookViews>
  <sheets>
    <sheet name="All_India_Index_Upto_April23 (1" sheetId="1" r:id="rId1"/>
    <sheet name="BROADER CATEGORIES" sheetId="8" r:id="rId2"/>
    <sheet name="QUESTION 1" sheetId="3" r:id="rId3"/>
    <sheet name="QUESTION 2" sheetId="4" r:id="rId4"/>
    <sheet name="QUESTION 3(a)" sheetId="5" r:id="rId5"/>
    <sheet name="QUESTION 3(b)" sheetId="9" r:id="rId6"/>
    <sheet name="QUESTION 4" sheetId="6" r:id="rId7"/>
    <sheet name="QUESTION 5" sheetId="7" r:id="rId8"/>
  </sheets>
  <definedNames>
    <definedName name="_xlnm._FilterDatabase" localSheetId="0" hidden="1">'All_India_Index_Upto_April23 (1'!$A$1:$AF$373</definedName>
    <definedName name="_xlnm._FilterDatabase" localSheetId="1" hidden="1">'BROADER CATEGORIES'!$A$1:$W$373</definedName>
    <definedName name="_xlnm._FilterDatabase" localSheetId="2" hidden="1">'QUESTION 1'!$A$1:$W$373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9" l="1"/>
  <c r="F31" i="9"/>
  <c r="G31" i="9"/>
  <c r="H31" i="9"/>
  <c r="I31" i="9"/>
  <c r="J31" i="9"/>
  <c r="K31" i="9"/>
  <c r="L31" i="9"/>
  <c r="M31" i="9"/>
  <c r="N31" i="9"/>
  <c r="O31" i="9"/>
  <c r="P31" i="9"/>
  <c r="D31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D20" i="9"/>
  <c r="D21" i="9"/>
  <c r="D22" i="9"/>
  <c r="D23" i="9"/>
  <c r="D24" i="9"/>
  <c r="D25" i="9"/>
  <c r="D26" i="9"/>
  <c r="D27" i="9"/>
  <c r="D28" i="9"/>
  <c r="D29" i="9"/>
  <c r="P20" i="9"/>
  <c r="P21" i="9"/>
  <c r="P22" i="9"/>
  <c r="P23" i="9"/>
  <c r="P24" i="9"/>
  <c r="P25" i="9"/>
  <c r="P26" i="9"/>
  <c r="P27" i="9"/>
  <c r="P28" i="9"/>
  <c r="P29" i="9"/>
  <c r="P19" i="9"/>
  <c r="O20" i="9"/>
  <c r="O21" i="9"/>
  <c r="O22" i="9"/>
  <c r="O23" i="9"/>
  <c r="O24" i="9"/>
  <c r="O25" i="9"/>
  <c r="O26" i="9"/>
  <c r="O27" i="9"/>
  <c r="O28" i="9"/>
  <c r="O29" i="9"/>
  <c r="O19" i="9"/>
  <c r="N20" i="9"/>
  <c r="N21" i="9"/>
  <c r="N22" i="9"/>
  <c r="N23" i="9"/>
  <c r="N24" i="9"/>
  <c r="N25" i="9"/>
  <c r="N26" i="9"/>
  <c r="N27" i="9"/>
  <c r="N28" i="9"/>
  <c r="N29" i="9"/>
  <c r="N19" i="9"/>
  <c r="M20" i="9"/>
  <c r="M21" i="9"/>
  <c r="M22" i="9"/>
  <c r="M23" i="9"/>
  <c r="M24" i="9"/>
  <c r="M25" i="9"/>
  <c r="M26" i="9"/>
  <c r="M27" i="9"/>
  <c r="M28" i="9"/>
  <c r="M29" i="9"/>
  <c r="M19" i="9"/>
  <c r="L20" i="9"/>
  <c r="L21" i="9"/>
  <c r="L22" i="9"/>
  <c r="L23" i="9"/>
  <c r="L24" i="9"/>
  <c r="L25" i="9"/>
  <c r="L26" i="9"/>
  <c r="L27" i="9"/>
  <c r="L28" i="9"/>
  <c r="L29" i="9"/>
  <c r="L19" i="9"/>
  <c r="K20" i="9"/>
  <c r="K21" i="9"/>
  <c r="K22" i="9"/>
  <c r="K23" i="9"/>
  <c r="K24" i="9"/>
  <c r="K25" i="9"/>
  <c r="K26" i="9"/>
  <c r="K27" i="9"/>
  <c r="K28" i="9"/>
  <c r="K29" i="9"/>
  <c r="K19" i="9"/>
  <c r="J20" i="9"/>
  <c r="J21" i="9"/>
  <c r="J22" i="9"/>
  <c r="J23" i="9"/>
  <c r="J24" i="9"/>
  <c r="J25" i="9"/>
  <c r="J26" i="9"/>
  <c r="J27" i="9"/>
  <c r="J28" i="9"/>
  <c r="J29" i="9"/>
  <c r="J19" i="9"/>
  <c r="I20" i="9"/>
  <c r="I21" i="9"/>
  <c r="I22" i="9"/>
  <c r="I23" i="9"/>
  <c r="I24" i="9"/>
  <c r="I25" i="9"/>
  <c r="I26" i="9"/>
  <c r="I27" i="9"/>
  <c r="I28" i="9"/>
  <c r="I29" i="9"/>
  <c r="I19" i="9"/>
  <c r="H20" i="9"/>
  <c r="H21" i="9"/>
  <c r="H22" i="9"/>
  <c r="H23" i="9"/>
  <c r="H24" i="9"/>
  <c r="H25" i="9"/>
  <c r="H26" i="9"/>
  <c r="H27" i="9"/>
  <c r="H28" i="9"/>
  <c r="H29" i="9"/>
  <c r="H19" i="9"/>
  <c r="G20" i="9"/>
  <c r="G21" i="9"/>
  <c r="G22" i="9"/>
  <c r="G23" i="9"/>
  <c r="G24" i="9"/>
  <c r="G25" i="9"/>
  <c r="G26" i="9"/>
  <c r="G27" i="9"/>
  <c r="G28" i="9"/>
  <c r="G29" i="9"/>
  <c r="G19" i="9"/>
  <c r="F20" i="9"/>
  <c r="F21" i="9"/>
  <c r="F22" i="9"/>
  <c r="F23" i="9"/>
  <c r="F24" i="9"/>
  <c r="F25" i="9"/>
  <c r="F26" i="9"/>
  <c r="F27" i="9"/>
  <c r="F28" i="9"/>
  <c r="F29" i="9"/>
  <c r="F19" i="9"/>
  <c r="E20" i="9"/>
  <c r="E21" i="9"/>
  <c r="E22" i="9"/>
  <c r="E23" i="9"/>
  <c r="E24" i="9"/>
  <c r="E25" i="9"/>
  <c r="E26" i="9"/>
  <c r="E27" i="9"/>
  <c r="E28" i="9"/>
  <c r="E29" i="9"/>
  <c r="E19" i="9"/>
  <c r="D19" i="9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2" i="1"/>
  <c r="AN4" i="5"/>
  <c r="AN3" i="5"/>
  <c r="AK4" i="5"/>
  <c r="AK3" i="5"/>
  <c r="AL4" i="5"/>
  <c r="AL5" i="5"/>
  <c r="AL6" i="5"/>
  <c r="AL7" i="5"/>
  <c r="AL8" i="5"/>
  <c r="AL9" i="5"/>
  <c r="AL10" i="5"/>
  <c r="AL11" i="5"/>
  <c r="AL12" i="5"/>
  <c r="AL13" i="5"/>
  <c r="AL14" i="5"/>
  <c r="AL3" i="5"/>
  <c r="AI4" i="5"/>
  <c r="AI5" i="5"/>
  <c r="AI6" i="5"/>
  <c r="AI7" i="5"/>
  <c r="AI8" i="5"/>
  <c r="AI9" i="5"/>
  <c r="AI10" i="5"/>
  <c r="AI11" i="5"/>
  <c r="AI12" i="5"/>
  <c r="AI13" i="5"/>
  <c r="AI14" i="5"/>
  <c r="AI3" i="5"/>
  <c r="AF4" i="5"/>
  <c r="AF5" i="5"/>
  <c r="AF6" i="5"/>
  <c r="AF7" i="5"/>
  <c r="AF8" i="5"/>
  <c r="AF9" i="5"/>
  <c r="AF10" i="5"/>
  <c r="AF11" i="5"/>
  <c r="AF12" i="5"/>
  <c r="AF13" i="5"/>
  <c r="AF14" i="5"/>
  <c r="AF3" i="5"/>
  <c r="AH4" i="5" s="1"/>
  <c r="AC4" i="5"/>
  <c r="AC5" i="5"/>
  <c r="AC6" i="5"/>
  <c r="AC7" i="5"/>
  <c r="AC8" i="5"/>
  <c r="AC9" i="5"/>
  <c r="AC10" i="5"/>
  <c r="AC11" i="5"/>
  <c r="AC12" i="5"/>
  <c r="AC13" i="5"/>
  <c r="AC14" i="5"/>
  <c r="AC3" i="5"/>
  <c r="Z4" i="5"/>
  <c r="Z5" i="5"/>
  <c r="Z6" i="5"/>
  <c r="Z7" i="5"/>
  <c r="Z8" i="5"/>
  <c r="Z9" i="5"/>
  <c r="Z10" i="5"/>
  <c r="Z11" i="5"/>
  <c r="Z12" i="5"/>
  <c r="Z13" i="5"/>
  <c r="Z14" i="5"/>
  <c r="Z3" i="5"/>
  <c r="W4" i="5"/>
  <c r="W5" i="5"/>
  <c r="W6" i="5"/>
  <c r="W7" i="5"/>
  <c r="W8" i="5"/>
  <c r="W9" i="5"/>
  <c r="W10" i="5"/>
  <c r="W11" i="5"/>
  <c r="W12" i="5"/>
  <c r="W13" i="5"/>
  <c r="W14" i="5"/>
  <c r="W3" i="5"/>
  <c r="T4" i="5"/>
  <c r="T5" i="5"/>
  <c r="T6" i="5"/>
  <c r="T7" i="5"/>
  <c r="T8" i="5"/>
  <c r="T9" i="5"/>
  <c r="T10" i="5"/>
  <c r="T11" i="5"/>
  <c r="T12" i="5"/>
  <c r="T13" i="5"/>
  <c r="T14" i="5"/>
  <c r="T3" i="5"/>
  <c r="Q4" i="5"/>
  <c r="Q5" i="5"/>
  <c r="Q6" i="5"/>
  <c r="Q7" i="5"/>
  <c r="Q8" i="5"/>
  <c r="Q9" i="5"/>
  <c r="Q10" i="5"/>
  <c r="Q11" i="5"/>
  <c r="Q12" i="5"/>
  <c r="Q13" i="5"/>
  <c r="Q14" i="5"/>
  <c r="Q3" i="5"/>
  <c r="N4" i="5"/>
  <c r="N5" i="5"/>
  <c r="N6" i="5"/>
  <c r="N7" i="5"/>
  <c r="N8" i="5"/>
  <c r="N9" i="5"/>
  <c r="N10" i="5"/>
  <c r="N11" i="5"/>
  <c r="N12" i="5"/>
  <c r="N13" i="5"/>
  <c r="N14" i="5"/>
  <c r="N3" i="5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2" i="8"/>
  <c r="K265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9" i="8"/>
  <c r="H370" i="8"/>
  <c r="H372" i="8"/>
  <c r="H373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2" i="8"/>
  <c r="L4" i="3"/>
  <c r="H4" i="3"/>
  <c r="G4" i="3"/>
  <c r="E4" i="3"/>
  <c r="D4" i="3"/>
  <c r="L3" i="3"/>
  <c r="H3" i="3"/>
  <c r="G3" i="3"/>
  <c r="E3" i="3"/>
  <c r="D3" i="3"/>
  <c r="L2" i="3"/>
  <c r="H2" i="3"/>
  <c r="G2" i="3"/>
  <c r="E2" i="3"/>
  <c r="D2" i="3"/>
  <c r="M4" i="7"/>
  <c r="M5" i="7"/>
  <c r="W10" i="7" s="1"/>
  <c r="M6" i="7"/>
  <c r="M7" i="7"/>
  <c r="W9" i="7" s="1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" i="7"/>
  <c r="W7" i="7"/>
  <c r="W6" i="7"/>
  <c r="W5" i="7"/>
  <c r="W4" i="7"/>
  <c r="W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" i="7"/>
  <c r="S4" i="7"/>
  <c r="S5" i="7"/>
  <c r="S6" i="7"/>
  <c r="S7" i="7"/>
  <c r="S8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" i="7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2" i="6"/>
  <c r="H3" i="6"/>
  <c r="H4" i="6"/>
  <c r="L7" i="6" s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2" i="6"/>
  <c r="L4" i="6" s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L6" i="6" s="1"/>
  <c r="I29" i="6"/>
  <c r="I30" i="6"/>
  <c r="I31" i="6"/>
  <c r="I32" i="6"/>
  <c r="I33" i="6"/>
  <c r="I34" i="6"/>
  <c r="I35" i="6"/>
  <c r="I36" i="6"/>
  <c r="I13" i="6"/>
  <c r="E373" i="3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14" i="4"/>
  <c r="L371" i="3"/>
  <c r="L372" i="3"/>
  <c r="L373" i="3"/>
  <c r="H371" i="3"/>
  <c r="H372" i="3"/>
  <c r="H373" i="3"/>
  <c r="G371" i="3"/>
  <c r="G372" i="3"/>
  <c r="G373" i="3"/>
  <c r="D371" i="3"/>
  <c r="D372" i="3"/>
  <c r="D373" i="3"/>
  <c r="E371" i="3"/>
  <c r="E372" i="3"/>
  <c r="M264" i="1"/>
  <c r="I264" i="1"/>
  <c r="AA262" i="1"/>
  <c r="L262" i="8" s="1"/>
  <c r="Y265" i="1"/>
  <c r="U265" i="1"/>
  <c r="H265" i="8" s="1"/>
  <c r="O265" i="1"/>
  <c r="D263" i="1"/>
  <c r="D263" i="8" s="1"/>
  <c r="M260" i="8" l="1"/>
  <c r="Q260" i="8" s="1"/>
  <c r="M256" i="8"/>
  <c r="P256" i="8" s="1"/>
  <c r="M252" i="8"/>
  <c r="V252" i="8" s="1"/>
  <c r="M248" i="8"/>
  <c r="N248" i="8" s="1"/>
  <c r="M244" i="8"/>
  <c r="Q244" i="8" s="1"/>
  <c r="M240" i="8"/>
  <c r="P240" i="8" s="1"/>
  <c r="M236" i="8"/>
  <c r="P236" i="8" s="1"/>
  <c r="M232" i="8"/>
  <c r="N232" i="8" s="1"/>
  <c r="M228" i="8"/>
  <c r="Q228" i="8" s="1"/>
  <c r="M224" i="8"/>
  <c r="P224" i="8" s="1"/>
  <c r="M220" i="8"/>
  <c r="P220" i="8" s="1"/>
  <c r="M216" i="8"/>
  <c r="N216" i="8" s="1"/>
  <c r="M212" i="8"/>
  <c r="Q212" i="8" s="1"/>
  <c r="M208" i="8"/>
  <c r="P208" i="8" s="1"/>
  <c r="M204" i="8"/>
  <c r="N204" i="8" s="1"/>
  <c r="M200" i="8"/>
  <c r="N200" i="8" s="1"/>
  <c r="M196" i="8"/>
  <c r="Q196" i="8" s="1"/>
  <c r="M192" i="8"/>
  <c r="P192" i="8" s="1"/>
  <c r="M188" i="8"/>
  <c r="U188" i="8" s="1"/>
  <c r="M184" i="8"/>
  <c r="M180" i="8"/>
  <c r="Q180" i="8" s="1"/>
  <c r="M176" i="8"/>
  <c r="P176" i="8" s="1"/>
  <c r="M172" i="8"/>
  <c r="S172" i="8" s="1"/>
  <c r="M168" i="8"/>
  <c r="T168" i="8" s="1"/>
  <c r="M164" i="8"/>
  <c r="P164" i="8" s="1"/>
  <c r="M160" i="8"/>
  <c r="P160" i="8" s="1"/>
  <c r="M156" i="8"/>
  <c r="Q156" i="8" s="1"/>
  <c r="M152" i="8"/>
  <c r="V152" i="8" s="1"/>
  <c r="M148" i="8"/>
  <c r="P148" i="8" s="1"/>
  <c r="M144" i="8"/>
  <c r="P144" i="8" s="1"/>
  <c r="M140" i="8"/>
  <c r="S140" i="8" s="1"/>
  <c r="M136" i="8"/>
  <c r="M132" i="8"/>
  <c r="P132" i="8" s="1"/>
  <c r="M128" i="8"/>
  <c r="P128" i="8" s="1"/>
  <c r="M124" i="8"/>
  <c r="S124" i="8" s="1"/>
  <c r="M120" i="8"/>
  <c r="M116" i="8"/>
  <c r="P116" i="8" s="1"/>
  <c r="M112" i="8"/>
  <c r="P112" i="8" s="1"/>
  <c r="M108" i="8"/>
  <c r="N108" i="8" s="1"/>
  <c r="M104" i="8"/>
  <c r="Q104" i="8" s="1"/>
  <c r="M100" i="8"/>
  <c r="P100" i="8" s="1"/>
  <c r="M96" i="8"/>
  <c r="P96" i="8" s="1"/>
  <c r="M92" i="8"/>
  <c r="S92" i="8" s="1"/>
  <c r="M88" i="8"/>
  <c r="O88" i="8" s="1"/>
  <c r="M84" i="8"/>
  <c r="P84" i="8" s="1"/>
  <c r="M80" i="8"/>
  <c r="P80" i="8" s="1"/>
  <c r="M76" i="8"/>
  <c r="V76" i="8" s="1"/>
  <c r="M72" i="8"/>
  <c r="S72" i="8" s="1"/>
  <c r="M68" i="8"/>
  <c r="P68" i="8" s="1"/>
  <c r="M64" i="8"/>
  <c r="P64" i="8" s="1"/>
  <c r="M60" i="8"/>
  <c r="V60" i="8" s="1"/>
  <c r="M56" i="8"/>
  <c r="M52" i="8"/>
  <c r="P52" i="8" s="1"/>
  <c r="M48" i="8"/>
  <c r="P48" i="8" s="1"/>
  <c r="M44" i="8"/>
  <c r="S44" i="8" s="1"/>
  <c r="M40" i="8"/>
  <c r="V40" i="8" s="1"/>
  <c r="M36" i="8"/>
  <c r="P36" i="8" s="1"/>
  <c r="M32" i="8"/>
  <c r="P32" i="8" s="1"/>
  <c r="M28" i="8"/>
  <c r="O28" i="8" s="1"/>
  <c r="M24" i="8"/>
  <c r="R24" i="8" s="1"/>
  <c r="M20" i="8"/>
  <c r="P20" i="8" s="1"/>
  <c r="M16" i="8"/>
  <c r="P16" i="8" s="1"/>
  <c r="M12" i="8"/>
  <c r="O12" i="8" s="1"/>
  <c r="M8" i="8"/>
  <c r="V8" i="8" s="1"/>
  <c r="M4" i="8"/>
  <c r="P4" i="8" s="1"/>
  <c r="AF262" i="1"/>
  <c r="M259" i="8"/>
  <c r="R259" i="8" s="1"/>
  <c r="M255" i="8"/>
  <c r="M251" i="8"/>
  <c r="N251" i="8" s="1"/>
  <c r="M247" i="8"/>
  <c r="U247" i="8" s="1"/>
  <c r="M239" i="8"/>
  <c r="V239" i="8" s="1"/>
  <c r="M231" i="8"/>
  <c r="M227" i="8"/>
  <c r="N227" i="8" s="1"/>
  <c r="M223" i="8"/>
  <c r="U223" i="8" s="1"/>
  <c r="M219" i="8"/>
  <c r="S219" i="8" s="1"/>
  <c r="M215" i="8"/>
  <c r="M211" i="8"/>
  <c r="Q211" i="8" s="1"/>
  <c r="M203" i="8"/>
  <c r="N203" i="8" s="1"/>
  <c r="M199" i="8"/>
  <c r="Q199" i="8" s="1"/>
  <c r="M195" i="8"/>
  <c r="M191" i="8"/>
  <c r="Q191" i="8" s="1"/>
  <c r="M187" i="8"/>
  <c r="R187" i="8" s="1"/>
  <c r="M183" i="8"/>
  <c r="R183" i="8" s="1"/>
  <c r="M175" i="8"/>
  <c r="M167" i="8"/>
  <c r="V167" i="8" s="1"/>
  <c r="M163" i="8"/>
  <c r="T163" i="8" s="1"/>
  <c r="M159" i="8"/>
  <c r="P159" i="8" s="1"/>
  <c r="M155" i="8"/>
  <c r="Q155" i="8" s="1"/>
  <c r="M151" i="8"/>
  <c r="P151" i="8" s="1"/>
  <c r="M147" i="8"/>
  <c r="V147" i="8" s="1"/>
  <c r="M139" i="8"/>
  <c r="R139" i="8" s="1"/>
  <c r="M135" i="8"/>
  <c r="M131" i="8"/>
  <c r="S131" i="8" s="1"/>
  <c r="M127" i="8"/>
  <c r="T127" i="8" s="1"/>
  <c r="M123" i="8"/>
  <c r="U123" i="8" s="1"/>
  <c r="M119" i="8"/>
  <c r="M111" i="8"/>
  <c r="S111" i="8" s="1"/>
  <c r="M103" i="8"/>
  <c r="S103" i="8" s="1"/>
  <c r="M99" i="8"/>
  <c r="O99" i="8" s="1"/>
  <c r="M95" i="8"/>
  <c r="M91" i="8"/>
  <c r="V91" i="8" s="1"/>
  <c r="M87" i="8"/>
  <c r="U87" i="8" s="1"/>
  <c r="M83" i="8"/>
  <c r="U83" i="8" s="1"/>
  <c r="M75" i="8"/>
  <c r="M71" i="8"/>
  <c r="P71" i="8" s="1"/>
  <c r="M59" i="8"/>
  <c r="V59" i="8" s="1"/>
  <c r="M55" i="8"/>
  <c r="P55" i="8" s="1"/>
  <c r="M47" i="8"/>
  <c r="M43" i="8"/>
  <c r="Q43" i="8" s="1"/>
  <c r="M39" i="8"/>
  <c r="T39" i="8" s="1"/>
  <c r="M27" i="8"/>
  <c r="Q27" i="8" s="1"/>
  <c r="M23" i="8"/>
  <c r="M15" i="8"/>
  <c r="R15" i="8" s="1"/>
  <c r="M11" i="8"/>
  <c r="V11" i="8" s="1"/>
  <c r="M7" i="8"/>
  <c r="S7" i="8" s="1"/>
  <c r="AF263" i="1"/>
  <c r="M262" i="8"/>
  <c r="O262" i="8" s="1"/>
  <c r="M250" i="8"/>
  <c r="P250" i="8" s="1"/>
  <c r="M222" i="8"/>
  <c r="M186" i="8"/>
  <c r="M158" i="8"/>
  <c r="U158" i="8" s="1"/>
  <c r="M94" i="8"/>
  <c r="V94" i="8" s="1"/>
  <c r="M86" i="8"/>
  <c r="U86" i="8" s="1"/>
  <c r="M42" i="8"/>
  <c r="M261" i="8"/>
  <c r="R261" i="8" s="1"/>
  <c r="M257" i="8"/>
  <c r="N257" i="8" s="1"/>
  <c r="M253" i="8"/>
  <c r="R253" i="8" s="1"/>
  <c r="M249" i="8"/>
  <c r="Q249" i="8" s="1"/>
  <c r="M245" i="8"/>
  <c r="O245" i="8" s="1"/>
  <c r="M241" i="8"/>
  <c r="S241" i="8" s="1"/>
  <c r="M237" i="8"/>
  <c r="S237" i="8" s="1"/>
  <c r="M233" i="8"/>
  <c r="Q233" i="8" s="1"/>
  <c r="M229" i="8"/>
  <c r="T229" i="8" s="1"/>
  <c r="M225" i="8"/>
  <c r="Q225" i="8" s="1"/>
  <c r="M221" i="8"/>
  <c r="R221" i="8" s="1"/>
  <c r="M217" i="8"/>
  <c r="M213" i="8"/>
  <c r="P213" i="8" s="1"/>
  <c r="M209" i="8"/>
  <c r="O209" i="8" s="1"/>
  <c r="M205" i="8"/>
  <c r="V205" i="8" s="1"/>
  <c r="M201" i="8"/>
  <c r="M197" i="8"/>
  <c r="T197" i="8" s="1"/>
  <c r="M193" i="8"/>
  <c r="S193" i="8" s="1"/>
  <c r="M189" i="8"/>
  <c r="N189" i="8" s="1"/>
  <c r="M185" i="8"/>
  <c r="O185" i="8" s="1"/>
  <c r="M181" i="8"/>
  <c r="Q181" i="8" s="1"/>
  <c r="M177" i="8"/>
  <c r="U177" i="8" s="1"/>
  <c r="M173" i="8"/>
  <c r="V173" i="8" s="1"/>
  <c r="M169" i="8"/>
  <c r="Q169" i="8" s="1"/>
  <c r="M165" i="8"/>
  <c r="Q165" i="8" s="1"/>
  <c r="M161" i="8"/>
  <c r="P161" i="8" s="1"/>
  <c r="M157" i="8"/>
  <c r="O157" i="8" s="1"/>
  <c r="M153" i="8"/>
  <c r="U153" i="8" s="1"/>
  <c r="M149" i="8"/>
  <c r="U149" i="8" s="1"/>
  <c r="M145" i="8"/>
  <c r="V145" i="8" s="1"/>
  <c r="M141" i="8"/>
  <c r="M137" i="8"/>
  <c r="R137" i="8" s="1"/>
  <c r="M133" i="8"/>
  <c r="T133" i="8" s="1"/>
  <c r="M129" i="8"/>
  <c r="R129" i="8" s="1"/>
  <c r="M125" i="8"/>
  <c r="M121" i="8"/>
  <c r="T121" i="8" s="1"/>
  <c r="M117" i="8"/>
  <c r="S117" i="8" s="1"/>
  <c r="M113" i="8"/>
  <c r="V113" i="8" s="1"/>
  <c r="M109" i="8"/>
  <c r="U109" i="8" s="1"/>
  <c r="M105" i="8"/>
  <c r="S105" i="8" s="1"/>
  <c r="M101" i="8"/>
  <c r="V101" i="8" s="1"/>
  <c r="M97" i="8"/>
  <c r="T97" i="8" s="1"/>
  <c r="M93" i="8"/>
  <c r="T93" i="8" s="1"/>
  <c r="M89" i="8"/>
  <c r="V89" i="8" s="1"/>
  <c r="M85" i="8"/>
  <c r="T85" i="8" s="1"/>
  <c r="M81" i="8"/>
  <c r="S81" i="8" s="1"/>
  <c r="M77" i="8"/>
  <c r="M73" i="8"/>
  <c r="T73" i="8" s="1"/>
  <c r="M69" i="8"/>
  <c r="S69" i="8" s="1"/>
  <c r="M65" i="8"/>
  <c r="U65" i="8" s="1"/>
  <c r="M61" i="8"/>
  <c r="M57" i="8"/>
  <c r="P57" i="8" s="1"/>
  <c r="M53" i="8"/>
  <c r="V53" i="8" s="1"/>
  <c r="M49" i="8"/>
  <c r="S49" i="8" s="1"/>
  <c r="M45" i="8"/>
  <c r="U45" i="8" s="1"/>
  <c r="M41" i="8"/>
  <c r="M37" i="8"/>
  <c r="T37" i="8" s="1"/>
  <c r="M33" i="8"/>
  <c r="Q33" i="8" s="1"/>
  <c r="M29" i="8"/>
  <c r="R29" i="8" s="1"/>
  <c r="M25" i="8"/>
  <c r="O25" i="8" s="1"/>
  <c r="M21" i="8"/>
  <c r="S21" i="8" s="1"/>
  <c r="M17" i="8"/>
  <c r="R17" i="8" s="1"/>
  <c r="M13" i="8"/>
  <c r="M9" i="8"/>
  <c r="M5" i="8"/>
  <c r="V5" i="8" s="1"/>
  <c r="M234" i="8"/>
  <c r="R234" i="8" s="1"/>
  <c r="M214" i="8"/>
  <c r="U214" i="8" s="1"/>
  <c r="M198" i="8"/>
  <c r="R198" i="8" s="1"/>
  <c r="M150" i="8"/>
  <c r="S150" i="8" s="1"/>
  <c r="M122" i="8"/>
  <c r="S122" i="8" s="1"/>
  <c r="M78" i="8"/>
  <c r="M10" i="8"/>
  <c r="M263" i="8"/>
  <c r="N263" i="8" s="1"/>
  <c r="D264" i="8"/>
  <c r="M264" i="8" s="1"/>
  <c r="V264" i="8" s="1"/>
  <c r="M336" i="8"/>
  <c r="P336" i="8" s="1"/>
  <c r="M324" i="8"/>
  <c r="M320" i="8"/>
  <c r="V320" i="8" s="1"/>
  <c r="M316" i="8"/>
  <c r="T316" i="8" s="1"/>
  <c r="M308" i="8"/>
  <c r="U308" i="8" s="1"/>
  <c r="M300" i="8"/>
  <c r="V300" i="8" s="1"/>
  <c r="M292" i="8"/>
  <c r="S292" i="8" s="1"/>
  <c r="M288" i="8"/>
  <c r="T288" i="8" s="1"/>
  <c r="M284" i="8"/>
  <c r="O284" i="8" s="1"/>
  <c r="M272" i="8"/>
  <c r="M363" i="8"/>
  <c r="M355" i="8"/>
  <c r="M335" i="8"/>
  <c r="O335" i="8" s="1"/>
  <c r="M331" i="8"/>
  <c r="T331" i="8" s="1"/>
  <c r="M319" i="8"/>
  <c r="N319" i="8" s="1"/>
  <c r="M311" i="8"/>
  <c r="M295" i="8"/>
  <c r="Q295" i="8" s="1"/>
  <c r="M271" i="8"/>
  <c r="M267" i="8"/>
  <c r="O267" i="8" s="1"/>
  <c r="M373" i="8"/>
  <c r="T373" i="8" s="1"/>
  <c r="M369" i="8"/>
  <c r="V369" i="8" s="1"/>
  <c r="M365" i="8"/>
  <c r="M361" i="8"/>
  <c r="T361" i="8" s="1"/>
  <c r="M357" i="8"/>
  <c r="M353" i="8"/>
  <c r="S353" i="8" s="1"/>
  <c r="M349" i="8"/>
  <c r="M345" i="8"/>
  <c r="U345" i="8" s="1"/>
  <c r="M341" i="8"/>
  <c r="M371" i="8"/>
  <c r="O371" i="8" s="1"/>
  <c r="M367" i="8"/>
  <c r="V367" i="8" s="1"/>
  <c r="M359" i="8"/>
  <c r="R359" i="8" s="1"/>
  <c r="M351" i="8"/>
  <c r="M347" i="8"/>
  <c r="P347" i="8" s="1"/>
  <c r="M343" i="8"/>
  <c r="M327" i="8"/>
  <c r="S327" i="8" s="1"/>
  <c r="M315" i="8"/>
  <c r="S315" i="8" s="1"/>
  <c r="M303" i="8"/>
  <c r="Q303" i="8" s="1"/>
  <c r="M299" i="8"/>
  <c r="R299" i="8" s="1"/>
  <c r="M287" i="8"/>
  <c r="T287" i="8" s="1"/>
  <c r="M283" i="8"/>
  <c r="P283" i="8" s="1"/>
  <c r="M279" i="8"/>
  <c r="V279" i="8" s="1"/>
  <c r="M254" i="8"/>
  <c r="M246" i="8"/>
  <c r="N246" i="8" s="1"/>
  <c r="M238" i="8"/>
  <c r="N238" i="8" s="1"/>
  <c r="M230" i="8"/>
  <c r="U230" i="8" s="1"/>
  <c r="M218" i="8"/>
  <c r="M206" i="8"/>
  <c r="M202" i="8"/>
  <c r="M190" i="8"/>
  <c r="U190" i="8" s="1"/>
  <c r="M182" i="8"/>
  <c r="P182" i="8" s="1"/>
  <c r="M174" i="8"/>
  <c r="M170" i="8"/>
  <c r="R170" i="8" s="1"/>
  <c r="M166" i="8"/>
  <c r="M154" i="8"/>
  <c r="M142" i="8"/>
  <c r="N142" i="8" s="1"/>
  <c r="M138" i="8"/>
  <c r="R138" i="8" s="1"/>
  <c r="M134" i="8"/>
  <c r="Q134" i="8" s="1"/>
  <c r="M126" i="8"/>
  <c r="M118" i="8"/>
  <c r="T118" i="8" s="1"/>
  <c r="M110" i="8"/>
  <c r="Q110" i="8" s="1"/>
  <c r="M106" i="8"/>
  <c r="V106" i="8" s="1"/>
  <c r="M102" i="8"/>
  <c r="M90" i="8"/>
  <c r="V90" i="8" s="1"/>
  <c r="M74" i="8"/>
  <c r="P74" i="8" s="1"/>
  <c r="M70" i="8"/>
  <c r="Q70" i="8" s="1"/>
  <c r="M58" i="8"/>
  <c r="M54" i="8"/>
  <c r="T54" i="8" s="1"/>
  <c r="M38" i="8"/>
  <c r="M26" i="8"/>
  <c r="V26" i="8" s="1"/>
  <c r="M22" i="8"/>
  <c r="M2" i="8"/>
  <c r="P2" i="8" s="1"/>
  <c r="M358" i="8"/>
  <c r="M314" i="8"/>
  <c r="P314" i="8" s="1"/>
  <c r="M278" i="8"/>
  <c r="M339" i="8"/>
  <c r="P339" i="8" s="1"/>
  <c r="M323" i="8"/>
  <c r="V323" i="8" s="1"/>
  <c r="M307" i="8"/>
  <c r="S307" i="8" s="1"/>
  <c r="M291" i="8"/>
  <c r="U291" i="8" s="1"/>
  <c r="M275" i="8"/>
  <c r="U275" i="8" s="1"/>
  <c r="M340" i="8"/>
  <c r="U340" i="8" s="1"/>
  <c r="M332" i="8"/>
  <c r="M304" i="8"/>
  <c r="M276" i="8"/>
  <c r="U276" i="8" s="1"/>
  <c r="M268" i="8"/>
  <c r="P268" i="8" s="1"/>
  <c r="M342" i="8"/>
  <c r="U342" i="8" s="1"/>
  <c r="M306" i="8"/>
  <c r="M243" i="8"/>
  <c r="M235" i="8"/>
  <c r="N235" i="8" s="1"/>
  <c r="M207" i="8"/>
  <c r="S207" i="8" s="1"/>
  <c r="M179" i="8"/>
  <c r="M171" i="8"/>
  <c r="R171" i="8" s="1"/>
  <c r="M143" i="8"/>
  <c r="M115" i="8"/>
  <c r="V115" i="8" s="1"/>
  <c r="M107" i="8"/>
  <c r="T107" i="8" s="1"/>
  <c r="M79" i="8"/>
  <c r="U79" i="8" s="1"/>
  <c r="M67" i="8"/>
  <c r="M63" i="8"/>
  <c r="O63" i="8" s="1"/>
  <c r="M51" i="8"/>
  <c r="M35" i="8"/>
  <c r="N35" i="8" s="1"/>
  <c r="M31" i="8"/>
  <c r="M19" i="8"/>
  <c r="S19" i="8" s="1"/>
  <c r="M370" i="8"/>
  <c r="M366" i="8"/>
  <c r="O366" i="8" s="1"/>
  <c r="M362" i="8"/>
  <c r="M354" i="8"/>
  <c r="M350" i="8"/>
  <c r="M346" i="8"/>
  <c r="V346" i="8" s="1"/>
  <c r="M338" i="8"/>
  <c r="U338" i="8" s="1"/>
  <c r="M334" i="8"/>
  <c r="Q334" i="8" s="1"/>
  <c r="M330" i="8"/>
  <c r="M326" i="8"/>
  <c r="M322" i="8"/>
  <c r="M318" i="8"/>
  <c r="M310" i="8"/>
  <c r="T310" i="8" s="1"/>
  <c r="M302" i="8"/>
  <c r="M298" i="8"/>
  <c r="M294" i="8"/>
  <c r="M290" i="8"/>
  <c r="M286" i="8"/>
  <c r="Q286" i="8" s="1"/>
  <c r="M282" i="8"/>
  <c r="Q282" i="8" s="1"/>
  <c r="M274" i="8"/>
  <c r="M270" i="8"/>
  <c r="S270" i="8" s="1"/>
  <c r="M266" i="8"/>
  <c r="V266" i="8" s="1"/>
  <c r="M337" i="8"/>
  <c r="P337" i="8" s="1"/>
  <c r="M333" i="8"/>
  <c r="S333" i="8" s="1"/>
  <c r="M329" i="8"/>
  <c r="M325" i="8"/>
  <c r="T325" i="8" s="1"/>
  <c r="M321" i="8"/>
  <c r="M317" i="8"/>
  <c r="M313" i="8"/>
  <c r="M309" i="8"/>
  <c r="T309" i="8" s="1"/>
  <c r="M305" i="8"/>
  <c r="S305" i="8" s="1"/>
  <c r="M301" i="8"/>
  <c r="M297" i="8"/>
  <c r="M293" i="8"/>
  <c r="Q293" i="8" s="1"/>
  <c r="M289" i="8"/>
  <c r="S289" i="8" s="1"/>
  <c r="M285" i="8"/>
  <c r="U285" i="8" s="1"/>
  <c r="M281" i="8"/>
  <c r="M277" i="8"/>
  <c r="S277" i="8" s="1"/>
  <c r="M273" i="8"/>
  <c r="S273" i="8" s="1"/>
  <c r="M269" i="8"/>
  <c r="M372" i="8"/>
  <c r="V372" i="8" s="1"/>
  <c r="M368" i="8"/>
  <c r="N368" i="8" s="1"/>
  <c r="M364" i="8"/>
  <c r="M360" i="8"/>
  <c r="M356" i="8"/>
  <c r="M352" i="8"/>
  <c r="S352" i="8" s="1"/>
  <c r="M348" i="8"/>
  <c r="S348" i="8" s="1"/>
  <c r="M344" i="8"/>
  <c r="M328" i="8"/>
  <c r="M312" i="8"/>
  <c r="S312" i="8" s="1"/>
  <c r="M296" i="8"/>
  <c r="M280" i="8"/>
  <c r="Q280" i="8" s="1"/>
  <c r="M258" i="8"/>
  <c r="V258" i="8" s="1"/>
  <c r="M242" i="8"/>
  <c r="N242" i="8" s="1"/>
  <c r="M226" i="8"/>
  <c r="V226" i="8" s="1"/>
  <c r="M210" i="8"/>
  <c r="M194" i="8"/>
  <c r="M178" i="8"/>
  <c r="V178" i="8" s="1"/>
  <c r="M162" i="8"/>
  <c r="S162" i="8" s="1"/>
  <c r="M146" i="8"/>
  <c r="M130" i="8"/>
  <c r="M114" i="8"/>
  <c r="U114" i="8" s="1"/>
  <c r="M98" i="8"/>
  <c r="M82" i="8"/>
  <c r="M66" i="8"/>
  <c r="T66" i="8" s="1"/>
  <c r="M62" i="8"/>
  <c r="T62" i="8" s="1"/>
  <c r="M50" i="8"/>
  <c r="V50" i="8" s="1"/>
  <c r="M46" i="8"/>
  <c r="M34" i="8"/>
  <c r="M30" i="8"/>
  <c r="R30" i="8" s="1"/>
  <c r="M18" i="8"/>
  <c r="Q18" i="8" s="1"/>
  <c r="M14" i="8"/>
  <c r="M6" i="8"/>
  <c r="M3" i="8"/>
  <c r="T3" i="8" s="1"/>
  <c r="AE4" i="5"/>
  <c r="AH3" i="5"/>
  <c r="AB4" i="5"/>
  <c r="AE3" i="5"/>
  <c r="Y4" i="5"/>
  <c r="AB3" i="5"/>
  <c r="V4" i="5"/>
  <c r="Y3" i="5"/>
  <c r="S3" i="5"/>
  <c r="V3" i="5"/>
  <c r="S4" i="5"/>
  <c r="P4" i="5"/>
  <c r="P3" i="5"/>
  <c r="O132" i="8"/>
  <c r="U165" i="8"/>
  <c r="O5" i="8"/>
  <c r="V244" i="8"/>
  <c r="R164" i="8"/>
  <c r="R100" i="8"/>
  <c r="U52" i="8"/>
  <c r="M2" i="3"/>
  <c r="O2" i="3" s="1"/>
  <c r="M3" i="3"/>
  <c r="N3" i="3" s="1"/>
  <c r="M4" i="3"/>
  <c r="O4" i="3" s="1"/>
  <c r="W8" i="7"/>
  <c r="L2" i="6"/>
  <c r="L8" i="6"/>
  <c r="L3" i="6"/>
  <c r="I265" i="1"/>
  <c r="D265" i="8" s="1"/>
  <c r="M265" i="8" s="1"/>
  <c r="M372" i="3"/>
  <c r="S372" i="3" s="1"/>
  <c r="M371" i="3"/>
  <c r="M373" i="3"/>
  <c r="V373" i="3" s="1"/>
  <c r="V36" i="8" l="1"/>
  <c r="T196" i="8"/>
  <c r="N244" i="8"/>
  <c r="U148" i="8"/>
  <c r="V260" i="8"/>
  <c r="P228" i="8"/>
  <c r="S4" i="8"/>
  <c r="Q116" i="8"/>
  <c r="T212" i="8"/>
  <c r="O53" i="8"/>
  <c r="N64" i="8"/>
  <c r="N68" i="8"/>
  <c r="R20" i="8"/>
  <c r="R68" i="8"/>
  <c r="T132" i="8"/>
  <c r="R180" i="8"/>
  <c r="U224" i="8"/>
  <c r="S251" i="8"/>
  <c r="U85" i="8"/>
  <c r="Q79" i="8"/>
  <c r="R150" i="8"/>
  <c r="O212" i="8"/>
  <c r="N148" i="8"/>
  <c r="Q36" i="8"/>
  <c r="R84" i="8"/>
  <c r="V132" i="8"/>
  <c r="T192" i="8"/>
  <c r="R240" i="8"/>
  <c r="U287" i="8"/>
  <c r="Q133" i="8"/>
  <c r="U43" i="8"/>
  <c r="O180" i="8"/>
  <c r="N4" i="8"/>
  <c r="N180" i="8"/>
  <c r="U4" i="8"/>
  <c r="R36" i="8"/>
  <c r="Q52" i="8"/>
  <c r="U68" i="8"/>
  <c r="S100" i="8"/>
  <c r="Q132" i="8"/>
  <c r="T148" i="8"/>
  <c r="U164" i="8"/>
  <c r="S180" i="8"/>
  <c r="R212" i="8"/>
  <c r="T244" i="8"/>
  <c r="T292" i="8"/>
  <c r="V251" i="8"/>
  <c r="P21" i="8"/>
  <c r="O101" i="8"/>
  <c r="N149" i="8"/>
  <c r="S245" i="8"/>
  <c r="R339" i="8"/>
  <c r="T262" i="8"/>
  <c r="O260" i="8"/>
  <c r="O228" i="8"/>
  <c r="N20" i="8"/>
  <c r="N116" i="8"/>
  <c r="N196" i="8"/>
  <c r="Q4" i="8"/>
  <c r="V4" i="8"/>
  <c r="U20" i="8"/>
  <c r="S36" i="8"/>
  <c r="R52" i="8"/>
  <c r="T68" i="8"/>
  <c r="V68" i="8"/>
  <c r="V84" i="8"/>
  <c r="U100" i="8"/>
  <c r="U116" i="8"/>
  <c r="R132" i="8"/>
  <c r="Q148" i="8"/>
  <c r="Q164" i="8"/>
  <c r="V164" i="8"/>
  <c r="V180" i="8"/>
  <c r="U196" i="8"/>
  <c r="S212" i="8"/>
  <c r="S228" i="8"/>
  <c r="S244" i="8"/>
  <c r="R260" i="8"/>
  <c r="T320" i="8"/>
  <c r="R263" i="8"/>
  <c r="N213" i="8"/>
  <c r="T21" i="8"/>
  <c r="P69" i="8"/>
  <c r="P117" i="8"/>
  <c r="R149" i="8"/>
  <c r="U181" i="8"/>
  <c r="R309" i="8"/>
  <c r="N167" i="8"/>
  <c r="P180" i="8"/>
  <c r="N91" i="8"/>
  <c r="O4" i="8"/>
  <c r="O20" i="8"/>
  <c r="O244" i="8"/>
  <c r="O100" i="8"/>
  <c r="N84" i="8"/>
  <c r="N260" i="8"/>
  <c r="S20" i="8"/>
  <c r="V52" i="8"/>
  <c r="S84" i="8"/>
  <c r="S116" i="8"/>
  <c r="V148" i="8"/>
  <c r="S196" i="8"/>
  <c r="R228" i="8"/>
  <c r="T260" i="8"/>
  <c r="S359" i="8"/>
  <c r="S53" i="8"/>
  <c r="N181" i="8"/>
  <c r="P244" i="8"/>
  <c r="O116" i="8"/>
  <c r="N36" i="8"/>
  <c r="N132" i="8"/>
  <c r="N228" i="8"/>
  <c r="R4" i="8"/>
  <c r="Q20" i="8"/>
  <c r="V20" i="8"/>
  <c r="U36" i="8"/>
  <c r="S52" i="8"/>
  <c r="Q68" i="8"/>
  <c r="Q84" i="8"/>
  <c r="T100" i="8"/>
  <c r="T116" i="8"/>
  <c r="V116" i="8"/>
  <c r="U132" i="8"/>
  <c r="R148" i="8"/>
  <c r="T164" i="8"/>
  <c r="T180" i="8"/>
  <c r="V196" i="8"/>
  <c r="V212" i="8"/>
  <c r="U228" i="8"/>
  <c r="U244" i="8"/>
  <c r="U260" i="8"/>
  <c r="S227" i="8"/>
  <c r="O287" i="8"/>
  <c r="N261" i="8"/>
  <c r="Q37" i="8"/>
  <c r="Q85" i="8"/>
  <c r="T117" i="8"/>
  <c r="V149" i="8"/>
  <c r="T213" i="8"/>
  <c r="P212" i="8"/>
  <c r="O68" i="8"/>
  <c r="O84" i="8"/>
  <c r="O164" i="8"/>
  <c r="S368" i="8"/>
  <c r="U240" i="8"/>
  <c r="O16" i="8"/>
  <c r="S96" i="8"/>
  <c r="R112" i="8"/>
  <c r="R256" i="8"/>
  <c r="O160" i="8"/>
  <c r="N76" i="8"/>
  <c r="Q208" i="8"/>
  <c r="N208" i="8"/>
  <c r="S16" i="8"/>
  <c r="Q32" i="8"/>
  <c r="T48" i="8"/>
  <c r="Q64" i="8"/>
  <c r="S80" i="8"/>
  <c r="S144" i="8"/>
  <c r="Q160" i="8"/>
  <c r="U176" i="8"/>
  <c r="V224" i="8"/>
  <c r="O176" i="8"/>
  <c r="Q224" i="8"/>
  <c r="N52" i="8"/>
  <c r="N100" i="8"/>
  <c r="N164" i="8"/>
  <c r="N212" i="8"/>
  <c r="N292" i="8"/>
  <c r="T4" i="8"/>
  <c r="V16" i="8"/>
  <c r="T20" i="8"/>
  <c r="R32" i="8"/>
  <c r="T36" i="8"/>
  <c r="U48" i="8"/>
  <c r="T52" i="8"/>
  <c r="T64" i="8"/>
  <c r="S68" i="8"/>
  <c r="T84" i="8"/>
  <c r="U84" i="8"/>
  <c r="Q100" i="8"/>
  <c r="V100" i="8"/>
  <c r="R116" i="8"/>
  <c r="V128" i="8"/>
  <c r="S132" i="8"/>
  <c r="V144" i="8"/>
  <c r="S148" i="8"/>
  <c r="R160" i="8"/>
  <c r="S164" i="8"/>
  <c r="V176" i="8"/>
  <c r="U180" i="8"/>
  <c r="R196" i="8"/>
  <c r="V208" i="8"/>
  <c r="U212" i="8"/>
  <c r="T228" i="8"/>
  <c r="V228" i="8"/>
  <c r="R244" i="8"/>
  <c r="U252" i="8"/>
  <c r="S260" i="8"/>
  <c r="V292" i="8"/>
  <c r="U227" i="8"/>
  <c r="V263" i="8"/>
  <c r="S5" i="8"/>
  <c r="U37" i="8"/>
  <c r="T69" i="8"/>
  <c r="S101" i="8"/>
  <c r="U133" i="8"/>
  <c r="P165" i="8"/>
  <c r="V219" i="8"/>
  <c r="P196" i="8"/>
  <c r="P260" i="8"/>
  <c r="N48" i="8"/>
  <c r="V35" i="8"/>
  <c r="T319" i="8"/>
  <c r="O196" i="8"/>
  <c r="O148" i="8"/>
  <c r="O36" i="8"/>
  <c r="O52" i="8"/>
  <c r="U159" i="8"/>
  <c r="P156" i="8"/>
  <c r="N256" i="8"/>
  <c r="U32" i="8"/>
  <c r="V44" i="8"/>
  <c r="U64" i="8"/>
  <c r="T80" i="8"/>
  <c r="T96" i="8"/>
  <c r="S112" i="8"/>
  <c r="R128" i="8"/>
  <c r="U160" i="8"/>
  <c r="U172" i="8"/>
  <c r="R208" i="8"/>
  <c r="U220" i="8"/>
  <c r="V240" i="8"/>
  <c r="U256" i="8"/>
  <c r="O80" i="8"/>
  <c r="O224" i="8"/>
  <c r="N128" i="8"/>
  <c r="V247" i="8"/>
  <c r="V27" i="8"/>
  <c r="N224" i="8"/>
  <c r="R16" i="8"/>
  <c r="V32" i="8"/>
  <c r="Q48" i="8"/>
  <c r="V112" i="8"/>
  <c r="S128" i="8"/>
  <c r="R144" i="8"/>
  <c r="V160" i="8"/>
  <c r="R176" i="8"/>
  <c r="S192" i="8"/>
  <c r="U208" i="8"/>
  <c r="R224" i="8"/>
  <c r="U236" i="8"/>
  <c r="V256" i="8"/>
  <c r="O112" i="8"/>
  <c r="O240" i="8"/>
  <c r="N144" i="8"/>
  <c r="P172" i="8"/>
  <c r="S76" i="8"/>
  <c r="Q176" i="8"/>
  <c r="Q240" i="8"/>
  <c r="N236" i="8"/>
  <c r="Q12" i="8"/>
  <c r="T16" i="8"/>
  <c r="S32" i="8"/>
  <c r="R48" i="8"/>
  <c r="V48" i="8"/>
  <c r="R64" i="8"/>
  <c r="V64" i="8"/>
  <c r="Q80" i="8"/>
  <c r="U80" i="8"/>
  <c r="Q96" i="8"/>
  <c r="U96" i="8"/>
  <c r="S108" i="8"/>
  <c r="T112" i="8"/>
  <c r="T128" i="8"/>
  <c r="T144" i="8"/>
  <c r="S160" i="8"/>
  <c r="S176" i="8"/>
  <c r="U192" i="8"/>
  <c r="S208" i="8"/>
  <c r="S224" i="8"/>
  <c r="S240" i="8"/>
  <c r="S256" i="8"/>
  <c r="O177" i="8"/>
  <c r="O48" i="8"/>
  <c r="O128" i="8"/>
  <c r="O192" i="8"/>
  <c r="O256" i="8"/>
  <c r="N80" i="8"/>
  <c r="N176" i="8"/>
  <c r="S183" i="8"/>
  <c r="Q316" i="8"/>
  <c r="N44" i="8"/>
  <c r="Q192" i="8"/>
  <c r="Q256" i="8"/>
  <c r="N220" i="8"/>
  <c r="N240" i="8"/>
  <c r="Q16" i="8"/>
  <c r="U16" i="8"/>
  <c r="T28" i="8"/>
  <c r="T32" i="8"/>
  <c r="S48" i="8"/>
  <c r="S64" i="8"/>
  <c r="R80" i="8"/>
  <c r="V80" i="8"/>
  <c r="R96" i="8"/>
  <c r="V96" i="8"/>
  <c r="Q112" i="8"/>
  <c r="U112" i="8"/>
  <c r="Q128" i="8"/>
  <c r="U128" i="8"/>
  <c r="Q144" i="8"/>
  <c r="U144" i="8"/>
  <c r="T160" i="8"/>
  <c r="T176" i="8"/>
  <c r="R192" i="8"/>
  <c r="V192" i="8"/>
  <c r="T208" i="8"/>
  <c r="T220" i="8"/>
  <c r="T224" i="8"/>
  <c r="T236" i="8"/>
  <c r="T240" i="8"/>
  <c r="T252" i="8"/>
  <c r="T256" i="8"/>
  <c r="O64" i="8"/>
  <c r="O144" i="8"/>
  <c r="O208" i="8"/>
  <c r="N16" i="8"/>
  <c r="N112" i="8"/>
  <c r="N192" i="8"/>
  <c r="N99" i="8"/>
  <c r="P28" i="8"/>
  <c r="T12" i="8"/>
  <c r="S60" i="8"/>
  <c r="U108" i="8"/>
  <c r="S109" i="8"/>
  <c r="O7" i="8"/>
  <c r="V123" i="8"/>
  <c r="S83" i="8"/>
  <c r="T259" i="8"/>
  <c r="P44" i="8"/>
  <c r="N172" i="8"/>
  <c r="N252" i="8"/>
  <c r="Q28" i="8"/>
  <c r="R76" i="8"/>
  <c r="U140" i="8"/>
  <c r="Q7" i="8"/>
  <c r="O139" i="8"/>
  <c r="R199" i="8"/>
  <c r="O216" i="8"/>
  <c r="O276" i="8"/>
  <c r="U28" i="8"/>
  <c r="R92" i="8"/>
  <c r="N123" i="8"/>
  <c r="S139" i="8"/>
  <c r="P92" i="8"/>
  <c r="N12" i="8"/>
  <c r="N140" i="8"/>
  <c r="U12" i="8"/>
  <c r="T124" i="8"/>
  <c r="Q239" i="8"/>
  <c r="N27" i="8"/>
  <c r="O55" i="8"/>
  <c r="R99" i="8"/>
  <c r="P108" i="8"/>
  <c r="R44" i="8"/>
  <c r="T187" i="8"/>
  <c r="O32" i="8"/>
  <c r="O96" i="8"/>
  <c r="N32" i="8"/>
  <c r="N96" i="8"/>
  <c r="N160" i="8"/>
  <c r="T55" i="8"/>
  <c r="V99" i="8"/>
  <c r="Q163" i="8"/>
  <c r="Q252" i="8"/>
  <c r="N41" i="8"/>
  <c r="T41" i="8"/>
  <c r="P23" i="8"/>
  <c r="R23" i="8"/>
  <c r="P75" i="8"/>
  <c r="R75" i="8"/>
  <c r="U135" i="8"/>
  <c r="R135" i="8"/>
  <c r="T135" i="8"/>
  <c r="N72" i="8"/>
  <c r="P72" i="8"/>
  <c r="R72" i="8"/>
  <c r="Q72" i="8"/>
  <c r="O72" i="8"/>
  <c r="V72" i="8"/>
  <c r="T72" i="8"/>
  <c r="U72" i="8"/>
  <c r="P95" i="8"/>
  <c r="O95" i="8"/>
  <c r="T95" i="8"/>
  <c r="O34" i="8"/>
  <c r="S34" i="8"/>
  <c r="N9" i="8"/>
  <c r="R9" i="8"/>
  <c r="U47" i="8"/>
  <c r="T47" i="8"/>
  <c r="R47" i="8"/>
  <c r="S119" i="8"/>
  <c r="Q119" i="8"/>
  <c r="Q175" i="8"/>
  <c r="U175" i="8"/>
  <c r="P175" i="8"/>
  <c r="R195" i="8"/>
  <c r="S195" i="8"/>
  <c r="N215" i="8"/>
  <c r="U215" i="8"/>
  <c r="S215" i="8"/>
  <c r="R215" i="8"/>
  <c r="O215" i="8"/>
  <c r="S231" i="8"/>
  <c r="R231" i="8"/>
  <c r="S255" i="8"/>
  <c r="O255" i="8"/>
  <c r="N8" i="8"/>
  <c r="P8" i="8"/>
  <c r="U8" i="8"/>
  <c r="Q8" i="8"/>
  <c r="O8" i="8"/>
  <c r="S8" i="8"/>
  <c r="T8" i="8"/>
  <c r="N24" i="8"/>
  <c r="P24" i="8"/>
  <c r="U24" i="8"/>
  <c r="Q24" i="8"/>
  <c r="S24" i="8"/>
  <c r="T24" i="8"/>
  <c r="N40" i="8"/>
  <c r="U40" i="8"/>
  <c r="Q40" i="8"/>
  <c r="S40" i="8"/>
  <c r="O40" i="8"/>
  <c r="P40" i="8"/>
  <c r="T40" i="8"/>
  <c r="N56" i="8"/>
  <c r="P56" i="8"/>
  <c r="R56" i="8"/>
  <c r="S56" i="8"/>
  <c r="V56" i="8"/>
  <c r="Q56" i="8"/>
  <c r="O56" i="8"/>
  <c r="T56" i="8"/>
  <c r="T88" i="8"/>
  <c r="P88" i="8"/>
  <c r="S88" i="8"/>
  <c r="N88" i="8"/>
  <c r="Q88" i="8"/>
  <c r="U88" i="8"/>
  <c r="V88" i="8"/>
  <c r="N104" i="8"/>
  <c r="U104" i="8"/>
  <c r="S104" i="8"/>
  <c r="T104" i="8"/>
  <c r="O104" i="8"/>
  <c r="V104" i="8"/>
  <c r="P104" i="8"/>
  <c r="R104" i="8"/>
  <c r="N120" i="8"/>
  <c r="U120" i="8"/>
  <c r="T120" i="8"/>
  <c r="S120" i="8"/>
  <c r="R120" i="8"/>
  <c r="Q120" i="8"/>
  <c r="O120" i="8"/>
  <c r="N136" i="8"/>
  <c r="U136" i="8"/>
  <c r="T136" i="8"/>
  <c r="S136" i="8"/>
  <c r="O136" i="8"/>
  <c r="P136" i="8"/>
  <c r="R136" i="8"/>
  <c r="V136" i="8"/>
  <c r="N152" i="8"/>
  <c r="P152" i="8"/>
  <c r="U152" i="8"/>
  <c r="Q152" i="8"/>
  <c r="S152" i="8"/>
  <c r="R152" i="8"/>
  <c r="T152" i="8"/>
  <c r="N168" i="8"/>
  <c r="U168" i="8"/>
  <c r="Q168" i="8"/>
  <c r="S168" i="8"/>
  <c r="P168" i="8"/>
  <c r="O168" i="8"/>
  <c r="V168" i="8"/>
  <c r="R168" i="8"/>
  <c r="Q184" i="8"/>
  <c r="N184" i="8"/>
  <c r="S184" i="8"/>
  <c r="R184" i="8"/>
  <c r="U184" i="8"/>
  <c r="V184" i="8"/>
  <c r="O184" i="8"/>
  <c r="P184" i="8"/>
  <c r="Q200" i="8"/>
  <c r="S200" i="8"/>
  <c r="R200" i="8"/>
  <c r="T200" i="8"/>
  <c r="O200" i="8"/>
  <c r="V200" i="8"/>
  <c r="P200" i="8"/>
  <c r="T216" i="8"/>
  <c r="U216" i="8"/>
  <c r="P216" i="8"/>
  <c r="S216" i="8"/>
  <c r="Q216" i="8"/>
  <c r="V216" i="8"/>
  <c r="R216" i="8"/>
  <c r="Q232" i="8"/>
  <c r="U232" i="8"/>
  <c r="S232" i="8"/>
  <c r="V232" i="8"/>
  <c r="T232" i="8"/>
  <c r="O232" i="8"/>
  <c r="P232" i="8"/>
  <c r="R232" i="8"/>
  <c r="Q248" i="8"/>
  <c r="U248" i="8"/>
  <c r="P248" i="8"/>
  <c r="S248" i="8"/>
  <c r="V248" i="8"/>
  <c r="T248" i="8"/>
  <c r="R248" i="8"/>
  <c r="O248" i="8"/>
  <c r="O24" i="8"/>
  <c r="V24" i="8"/>
  <c r="R40" i="8"/>
  <c r="U56" i="8"/>
  <c r="V120" i="8"/>
  <c r="T184" i="8"/>
  <c r="U200" i="8"/>
  <c r="P155" i="8"/>
  <c r="P120" i="8"/>
  <c r="O152" i="8"/>
  <c r="R8" i="8"/>
  <c r="R88" i="8"/>
  <c r="Q136" i="8"/>
  <c r="P255" i="8"/>
  <c r="Q78" i="8"/>
  <c r="U78" i="8"/>
  <c r="Q13" i="8"/>
  <c r="S13" i="8"/>
  <c r="Q61" i="8"/>
  <c r="S61" i="8"/>
  <c r="S141" i="8"/>
  <c r="P141" i="8"/>
  <c r="T222" i="8"/>
  <c r="U222" i="8"/>
  <c r="T27" i="8"/>
  <c r="P27" i="8"/>
  <c r="R27" i="8"/>
  <c r="O27" i="8"/>
  <c r="T83" i="8"/>
  <c r="P83" i="8"/>
  <c r="R83" i="8"/>
  <c r="O83" i="8"/>
  <c r="T123" i="8"/>
  <c r="P123" i="8"/>
  <c r="R123" i="8"/>
  <c r="O123" i="8"/>
  <c r="S159" i="8"/>
  <c r="O159" i="8"/>
  <c r="V159" i="8"/>
  <c r="R159" i="8"/>
  <c r="N159" i="8"/>
  <c r="U183" i="8"/>
  <c r="Q183" i="8"/>
  <c r="T183" i="8"/>
  <c r="P183" i="8"/>
  <c r="T199" i="8"/>
  <c r="P199" i="8"/>
  <c r="S199" i="8"/>
  <c r="O199" i="8"/>
  <c r="T219" i="8"/>
  <c r="P219" i="8"/>
  <c r="R219" i="8"/>
  <c r="O219" i="8"/>
  <c r="N219" i="8"/>
  <c r="N239" i="8"/>
  <c r="T239" i="8"/>
  <c r="P239" i="8"/>
  <c r="S239" i="8"/>
  <c r="O239" i="8"/>
  <c r="V259" i="8"/>
  <c r="S259" i="8"/>
  <c r="N259" i="8"/>
  <c r="U259" i="8"/>
  <c r="Q259" i="8"/>
  <c r="O60" i="8"/>
  <c r="U60" i="8"/>
  <c r="T60" i="8"/>
  <c r="O92" i="8"/>
  <c r="V92" i="8"/>
  <c r="Q92" i="8"/>
  <c r="O140" i="8"/>
  <c r="R140" i="8"/>
  <c r="V140" i="8"/>
  <c r="Q140" i="8"/>
  <c r="O156" i="8"/>
  <c r="R156" i="8"/>
  <c r="V156" i="8"/>
  <c r="T156" i="8"/>
  <c r="O188" i="8"/>
  <c r="R188" i="8"/>
  <c r="V188" i="8"/>
  <c r="T188" i="8"/>
  <c r="O204" i="8"/>
  <c r="R204" i="8"/>
  <c r="Q204" i="8"/>
  <c r="V204" i="8"/>
  <c r="T204" i="8"/>
  <c r="O220" i="8"/>
  <c r="S220" i="8"/>
  <c r="R220" i="8"/>
  <c r="O236" i="8"/>
  <c r="S236" i="8"/>
  <c r="Q236" i="8"/>
  <c r="R236" i="8"/>
  <c r="P60" i="8"/>
  <c r="P124" i="8"/>
  <c r="P188" i="8"/>
  <c r="P252" i="8"/>
  <c r="N28" i="8"/>
  <c r="N60" i="8"/>
  <c r="N92" i="8"/>
  <c r="N124" i="8"/>
  <c r="N156" i="8"/>
  <c r="N188" i="8"/>
  <c r="R12" i="8"/>
  <c r="V12" i="8"/>
  <c r="R28" i="8"/>
  <c r="V28" i="8"/>
  <c r="Q60" i="8"/>
  <c r="U92" i="8"/>
  <c r="S156" i="8"/>
  <c r="S204" i="8"/>
  <c r="V220" i="8"/>
  <c r="V236" i="8"/>
  <c r="R239" i="8"/>
  <c r="V29" i="8"/>
  <c r="S253" i="8"/>
  <c r="N199" i="8"/>
  <c r="S27" i="8"/>
  <c r="Q123" i="8"/>
  <c r="Q159" i="8"/>
  <c r="U219" i="8"/>
  <c r="N83" i="8"/>
  <c r="V83" i="8"/>
  <c r="N183" i="8"/>
  <c r="V183" i="8"/>
  <c r="U199" i="8"/>
  <c r="O259" i="8"/>
  <c r="R77" i="8"/>
  <c r="S77" i="8"/>
  <c r="R125" i="8"/>
  <c r="V125" i="8"/>
  <c r="U7" i="8"/>
  <c r="R7" i="8"/>
  <c r="T7" i="8"/>
  <c r="P7" i="8"/>
  <c r="V55" i="8"/>
  <c r="Q55" i="8"/>
  <c r="N55" i="8"/>
  <c r="U55" i="8"/>
  <c r="R55" i="8"/>
  <c r="U99" i="8"/>
  <c r="Q99" i="8"/>
  <c r="T99" i="8"/>
  <c r="P99" i="8"/>
  <c r="U139" i="8"/>
  <c r="Q139" i="8"/>
  <c r="T139" i="8"/>
  <c r="P139" i="8"/>
  <c r="O44" i="8"/>
  <c r="U44" i="8"/>
  <c r="Q44" i="8"/>
  <c r="O76" i="8"/>
  <c r="U76" i="8"/>
  <c r="T76" i="8"/>
  <c r="O108" i="8"/>
  <c r="R108" i="8"/>
  <c r="V108" i="8"/>
  <c r="Q108" i="8"/>
  <c r="O124" i="8"/>
  <c r="R124" i="8"/>
  <c r="V124" i="8"/>
  <c r="Q124" i="8"/>
  <c r="O172" i="8"/>
  <c r="R172" i="8"/>
  <c r="V172" i="8"/>
  <c r="T172" i="8"/>
  <c r="O252" i="8"/>
  <c r="S252" i="8"/>
  <c r="R252" i="8"/>
  <c r="P12" i="8"/>
  <c r="P76" i="8"/>
  <c r="P140" i="8"/>
  <c r="P204" i="8"/>
  <c r="S12" i="8"/>
  <c r="S28" i="8"/>
  <c r="T44" i="8"/>
  <c r="R60" i="8"/>
  <c r="Q76" i="8"/>
  <c r="T92" i="8"/>
  <c r="T108" i="8"/>
  <c r="U124" i="8"/>
  <c r="T140" i="8"/>
  <c r="U156" i="8"/>
  <c r="Q172" i="8"/>
  <c r="S188" i="8"/>
  <c r="U204" i="8"/>
  <c r="U239" i="8"/>
  <c r="U295" i="8"/>
  <c r="N221" i="8"/>
  <c r="N7" i="8"/>
  <c r="V7" i="8"/>
  <c r="U27" i="8"/>
  <c r="S123" i="8"/>
  <c r="T159" i="8"/>
  <c r="Q219" i="8"/>
  <c r="N214" i="8"/>
  <c r="S55" i="8"/>
  <c r="Q83" i="8"/>
  <c r="S99" i="8"/>
  <c r="N139" i="8"/>
  <c r="V139" i="8"/>
  <c r="O183" i="8"/>
  <c r="V199" i="8"/>
  <c r="P259" i="8"/>
  <c r="Q188" i="8"/>
  <c r="Q220" i="8"/>
  <c r="Q326" i="8"/>
  <c r="U326" i="8"/>
  <c r="S243" i="8"/>
  <c r="P243" i="8"/>
  <c r="T142" i="8"/>
  <c r="S142" i="8"/>
  <c r="U206" i="8"/>
  <c r="P206" i="8"/>
  <c r="O361" i="8"/>
  <c r="V361" i="8"/>
  <c r="V267" i="8"/>
  <c r="N267" i="8"/>
  <c r="R267" i="8"/>
  <c r="S363" i="8"/>
  <c r="Q363" i="8"/>
  <c r="V197" i="8"/>
  <c r="R197" i="8"/>
  <c r="U197" i="8"/>
  <c r="Q197" i="8"/>
  <c r="V229" i="8"/>
  <c r="R229" i="8"/>
  <c r="U229" i="8"/>
  <c r="Q229" i="8"/>
  <c r="T261" i="8"/>
  <c r="P261" i="8"/>
  <c r="S261" i="8"/>
  <c r="O261" i="8"/>
  <c r="R158" i="8"/>
  <c r="T158" i="8"/>
  <c r="T15" i="8"/>
  <c r="P15" i="8"/>
  <c r="S15" i="8"/>
  <c r="O15" i="8"/>
  <c r="V71" i="8"/>
  <c r="Q71" i="8"/>
  <c r="N71" i="8"/>
  <c r="U71" i="8"/>
  <c r="R71" i="8"/>
  <c r="T91" i="8"/>
  <c r="P91" i="8"/>
  <c r="R91" i="8"/>
  <c r="O91" i="8"/>
  <c r="V111" i="8"/>
  <c r="Q111" i="8"/>
  <c r="N111" i="8"/>
  <c r="U111" i="8"/>
  <c r="R111" i="8"/>
  <c r="T131" i="8"/>
  <c r="P131" i="8"/>
  <c r="R131" i="8"/>
  <c r="O131" i="8"/>
  <c r="V151" i="8"/>
  <c r="Q151" i="8"/>
  <c r="N151" i="8"/>
  <c r="U151" i="8"/>
  <c r="R151" i="8"/>
  <c r="T167" i="8"/>
  <c r="P167" i="8"/>
  <c r="S167" i="8"/>
  <c r="O167" i="8"/>
  <c r="S191" i="8"/>
  <c r="O191" i="8"/>
  <c r="V191" i="8"/>
  <c r="R191" i="8"/>
  <c r="N191" i="8"/>
  <c r="R211" i="8"/>
  <c r="O211" i="8"/>
  <c r="V211" i="8"/>
  <c r="S211" i="8"/>
  <c r="Q320" i="8"/>
  <c r="N320" i="8"/>
  <c r="R292" i="8"/>
  <c r="U320" i="8"/>
  <c r="R227" i="8"/>
  <c r="R251" i="8"/>
  <c r="S263" i="8"/>
  <c r="P287" i="8"/>
  <c r="P5" i="8"/>
  <c r="U21" i="8"/>
  <c r="R37" i="8"/>
  <c r="P53" i="8"/>
  <c r="U69" i="8"/>
  <c r="R85" i="8"/>
  <c r="P101" i="8"/>
  <c r="Q117" i="8"/>
  <c r="N133" i="8"/>
  <c r="O149" i="8"/>
  <c r="V165" i="8"/>
  <c r="O197" i="8"/>
  <c r="O229" i="8"/>
  <c r="U261" i="8"/>
  <c r="Q167" i="8"/>
  <c r="Q267" i="8"/>
  <c r="R54" i="8"/>
  <c r="T150" i="8"/>
  <c r="P242" i="8"/>
  <c r="V43" i="8"/>
  <c r="Q91" i="8"/>
  <c r="T191" i="8"/>
  <c r="T211" i="8"/>
  <c r="S23" i="8"/>
  <c r="O23" i="8"/>
  <c r="V23" i="8"/>
  <c r="Q23" i="8"/>
  <c r="N23" i="8"/>
  <c r="V75" i="8"/>
  <c r="S75" i="8"/>
  <c r="N75" i="8"/>
  <c r="U75" i="8"/>
  <c r="Q75" i="8"/>
  <c r="U119" i="8"/>
  <c r="R119" i="8"/>
  <c r="T119" i="8"/>
  <c r="P119" i="8"/>
  <c r="R155" i="8"/>
  <c r="O155" i="8"/>
  <c r="V155" i="8"/>
  <c r="S155" i="8"/>
  <c r="N155" i="8"/>
  <c r="U195" i="8"/>
  <c r="Q195" i="8"/>
  <c r="T195" i="8"/>
  <c r="P195" i="8"/>
  <c r="N231" i="8"/>
  <c r="T231" i="8"/>
  <c r="Q231" i="8"/>
  <c r="V231" i="8"/>
  <c r="P231" i="8"/>
  <c r="R326" i="8"/>
  <c r="Q368" i="8"/>
  <c r="S276" i="8"/>
  <c r="R320" i="8"/>
  <c r="P215" i="8"/>
  <c r="T215" i="8"/>
  <c r="P227" i="8"/>
  <c r="V227" i="8"/>
  <c r="P251" i="8"/>
  <c r="T251" i="8"/>
  <c r="P263" i="8"/>
  <c r="T263" i="8"/>
  <c r="S275" i="8"/>
  <c r="S287" i="8"/>
  <c r="P359" i="8"/>
  <c r="Q158" i="8"/>
  <c r="N158" i="8"/>
  <c r="N229" i="8"/>
  <c r="N361" i="8"/>
  <c r="Q5" i="8"/>
  <c r="U5" i="8"/>
  <c r="N21" i="8"/>
  <c r="R21" i="8"/>
  <c r="V21" i="8"/>
  <c r="O37" i="8"/>
  <c r="S37" i="8"/>
  <c r="Q53" i="8"/>
  <c r="U53" i="8"/>
  <c r="N69" i="8"/>
  <c r="R69" i="8"/>
  <c r="V69" i="8"/>
  <c r="O85" i="8"/>
  <c r="S85" i="8"/>
  <c r="R89" i="8"/>
  <c r="Q101" i="8"/>
  <c r="U101" i="8"/>
  <c r="N117" i="8"/>
  <c r="R117" i="8"/>
  <c r="V117" i="8"/>
  <c r="O133" i="8"/>
  <c r="S133" i="8"/>
  <c r="P149" i="8"/>
  <c r="T149" i="8"/>
  <c r="N165" i="8"/>
  <c r="S165" i="8"/>
  <c r="P197" i="8"/>
  <c r="P229" i="8"/>
  <c r="V261" i="8"/>
  <c r="S345" i="8"/>
  <c r="N211" i="8"/>
  <c r="T75" i="8"/>
  <c r="N131" i="8"/>
  <c r="V131" i="8"/>
  <c r="T151" i="8"/>
  <c r="R167" i="8"/>
  <c r="N195" i="8"/>
  <c r="V195" i="8"/>
  <c r="U231" i="8"/>
  <c r="R327" i="8"/>
  <c r="T363" i="8"/>
  <c r="O158" i="8"/>
  <c r="Q178" i="8"/>
  <c r="P3" i="8"/>
  <c r="U15" i="8"/>
  <c r="T23" i="8"/>
  <c r="T71" i="8"/>
  <c r="S91" i="8"/>
  <c r="O111" i="8"/>
  <c r="N119" i="8"/>
  <c r="V119" i="8"/>
  <c r="T155" i="8"/>
  <c r="U191" i="8"/>
  <c r="U211" i="8"/>
  <c r="S114" i="8"/>
  <c r="V114" i="8"/>
  <c r="U286" i="8"/>
  <c r="S286" i="8"/>
  <c r="R302" i="8"/>
  <c r="N302" i="8"/>
  <c r="Q2" i="8"/>
  <c r="T2" i="8"/>
  <c r="V174" i="8"/>
  <c r="O174" i="8"/>
  <c r="S246" i="8"/>
  <c r="T246" i="8"/>
  <c r="P246" i="8"/>
  <c r="Q292" i="8"/>
  <c r="P292" i="8"/>
  <c r="P320" i="8"/>
  <c r="O320" i="8"/>
  <c r="V150" i="8"/>
  <c r="Q150" i="8"/>
  <c r="U150" i="8"/>
  <c r="P150" i="8"/>
  <c r="S181" i="8"/>
  <c r="O181" i="8"/>
  <c r="V181" i="8"/>
  <c r="R181" i="8"/>
  <c r="V213" i="8"/>
  <c r="R213" i="8"/>
  <c r="U213" i="8"/>
  <c r="Q213" i="8"/>
  <c r="U245" i="8"/>
  <c r="Q245" i="8"/>
  <c r="T245" i="8"/>
  <c r="P245" i="8"/>
  <c r="S262" i="8"/>
  <c r="V262" i="8"/>
  <c r="Q262" i="8"/>
  <c r="T43" i="8"/>
  <c r="P43" i="8"/>
  <c r="R43" i="8"/>
  <c r="O43" i="8"/>
  <c r="R262" i="8"/>
  <c r="R276" i="8"/>
  <c r="O227" i="8"/>
  <c r="O251" i="8"/>
  <c r="O263" i="8"/>
  <c r="O275" i="8"/>
  <c r="N150" i="8"/>
  <c r="N309" i="8"/>
  <c r="T5" i="8"/>
  <c r="Q21" i="8"/>
  <c r="N37" i="8"/>
  <c r="V37" i="8"/>
  <c r="T53" i="8"/>
  <c r="Q69" i="8"/>
  <c r="N85" i="8"/>
  <c r="V85" i="8"/>
  <c r="T101" i="8"/>
  <c r="U117" i="8"/>
  <c r="R133" i="8"/>
  <c r="V133" i="8"/>
  <c r="S149" i="8"/>
  <c r="R165" i="8"/>
  <c r="P181" i="8"/>
  <c r="O213" i="8"/>
  <c r="V245" i="8"/>
  <c r="R345" i="8"/>
  <c r="U131" i="8"/>
  <c r="S151" i="8"/>
  <c r="V339" i="8"/>
  <c r="V158" i="8"/>
  <c r="U262" i="8"/>
  <c r="Q15" i="8"/>
  <c r="N43" i="8"/>
  <c r="S71" i="8"/>
  <c r="T111" i="8"/>
  <c r="O292" i="8"/>
  <c r="S47" i="8"/>
  <c r="O47" i="8"/>
  <c r="V47" i="8"/>
  <c r="Q47" i="8"/>
  <c r="N47" i="8"/>
  <c r="V95" i="8"/>
  <c r="Q95" i="8"/>
  <c r="N95" i="8"/>
  <c r="U95" i="8"/>
  <c r="R95" i="8"/>
  <c r="S135" i="8"/>
  <c r="O135" i="8"/>
  <c r="V135" i="8"/>
  <c r="Q135" i="8"/>
  <c r="N135" i="8"/>
  <c r="S175" i="8"/>
  <c r="O175" i="8"/>
  <c r="V175" i="8"/>
  <c r="R175" i="8"/>
  <c r="N175" i="8"/>
  <c r="N255" i="8"/>
  <c r="V255" i="8"/>
  <c r="R255" i="8"/>
  <c r="U255" i="8"/>
  <c r="Q255" i="8"/>
  <c r="U292" i="8"/>
  <c r="S320" i="8"/>
  <c r="Q215" i="8"/>
  <c r="V215" i="8"/>
  <c r="Q227" i="8"/>
  <c r="T227" i="8"/>
  <c r="Q251" i="8"/>
  <c r="U251" i="8"/>
  <c r="Q263" i="8"/>
  <c r="U263" i="8"/>
  <c r="N54" i="8"/>
  <c r="N197" i="8"/>
  <c r="N245" i="8"/>
  <c r="N5" i="8"/>
  <c r="R5" i="8"/>
  <c r="O21" i="8"/>
  <c r="U25" i="8"/>
  <c r="P37" i="8"/>
  <c r="N53" i="8"/>
  <c r="R53" i="8"/>
  <c r="O69" i="8"/>
  <c r="P85" i="8"/>
  <c r="N101" i="8"/>
  <c r="R101" i="8"/>
  <c r="O117" i="8"/>
  <c r="P121" i="8"/>
  <c r="P133" i="8"/>
  <c r="Q149" i="8"/>
  <c r="O165" i="8"/>
  <c r="T165" i="8"/>
  <c r="T181" i="8"/>
  <c r="S197" i="8"/>
  <c r="S213" i="8"/>
  <c r="S229" i="8"/>
  <c r="R245" i="8"/>
  <c r="Q261" i="8"/>
  <c r="T293" i="8"/>
  <c r="P361" i="8"/>
  <c r="P47" i="8"/>
  <c r="O75" i="8"/>
  <c r="N79" i="8"/>
  <c r="S95" i="8"/>
  <c r="Q131" i="8"/>
  <c r="P135" i="8"/>
  <c r="O151" i="8"/>
  <c r="U167" i="8"/>
  <c r="T175" i="8"/>
  <c r="O195" i="8"/>
  <c r="O231" i="8"/>
  <c r="O243" i="8"/>
  <c r="T255" i="8"/>
  <c r="T327" i="8"/>
  <c r="S158" i="8"/>
  <c r="N262" i="8"/>
  <c r="T90" i="8"/>
  <c r="O150" i="8"/>
  <c r="P158" i="8"/>
  <c r="S178" i="8"/>
  <c r="P262" i="8"/>
  <c r="P302" i="8"/>
  <c r="N15" i="8"/>
  <c r="V15" i="8"/>
  <c r="U23" i="8"/>
  <c r="S43" i="8"/>
  <c r="O71" i="8"/>
  <c r="U91" i="8"/>
  <c r="P111" i="8"/>
  <c r="O119" i="8"/>
  <c r="U155" i="8"/>
  <c r="P191" i="8"/>
  <c r="P211" i="8"/>
  <c r="V203" i="8"/>
  <c r="O59" i="8"/>
  <c r="V87" i="8"/>
  <c r="O147" i="8"/>
  <c r="U163" i="8"/>
  <c r="R223" i="8"/>
  <c r="U264" i="8"/>
  <c r="Q113" i="8"/>
  <c r="O241" i="8"/>
  <c r="R39" i="8"/>
  <c r="R59" i="8"/>
  <c r="P49" i="8"/>
  <c r="O65" i="8"/>
  <c r="R81" i="8"/>
  <c r="O11" i="8"/>
  <c r="U39" i="8"/>
  <c r="N87" i="8"/>
  <c r="P103" i="8"/>
  <c r="R127" i="8"/>
  <c r="R147" i="8"/>
  <c r="V223" i="8"/>
  <c r="S97" i="8"/>
  <c r="R316" i="8"/>
  <c r="S203" i="8"/>
  <c r="N241" i="8"/>
  <c r="N17" i="8"/>
  <c r="N33" i="8"/>
  <c r="U193" i="8"/>
  <c r="R11" i="8"/>
  <c r="Q87" i="8"/>
  <c r="T103" i="8"/>
  <c r="P187" i="8"/>
  <c r="U127" i="8"/>
  <c r="R247" i="8"/>
  <c r="O203" i="8"/>
  <c r="R203" i="8"/>
  <c r="Q177" i="8"/>
  <c r="T209" i="8"/>
  <c r="P11" i="8"/>
  <c r="T11" i="8"/>
  <c r="N39" i="8"/>
  <c r="Q39" i="8"/>
  <c r="V39" i="8"/>
  <c r="P59" i="8"/>
  <c r="T59" i="8"/>
  <c r="O87" i="8"/>
  <c r="S87" i="8"/>
  <c r="R103" i="8"/>
  <c r="U103" i="8"/>
  <c r="Q187" i="8"/>
  <c r="U187" i="8"/>
  <c r="N223" i="8"/>
  <c r="N127" i="8"/>
  <c r="Q127" i="8"/>
  <c r="V127" i="8"/>
  <c r="P147" i="8"/>
  <c r="T147" i="8"/>
  <c r="N163" i="8"/>
  <c r="S163" i="8"/>
  <c r="V163" i="8"/>
  <c r="O223" i="8"/>
  <c r="S223" i="8"/>
  <c r="O247" i="8"/>
  <c r="S247" i="8"/>
  <c r="P203" i="8"/>
  <c r="T203" i="8"/>
  <c r="N225" i="8"/>
  <c r="S225" i="8"/>
  <c r="Q11" i="8"/>
  <c r="U11" i="8"/>
  <c r="O39" i="8"/>
  <c r="S39" i="8"/>
  <c r="Q59" i="8"/>
  <c r="U59" i="8"/>
  <c r="P87" i="8"/>
  <c r="T87" i="8"/>
  <c r="N103" i="8"/>
  <c r="Q103" i="8"/>
  <c r="V103" i="8"/>
  <c r="N187" i="8"/>
  <c r="S187" i="8"/>
  <c r="V187" i="8"/>
  <c r="P234" i="8"/>
  <c r="N247" i="8"/>
  <c r="O127" i="8"/>
  <c r="S127" i="8"/>
  <c r="Q147" i="8"/>
  <c r="U147" i="8"/>
  <c r="O163" i="8"/>
  <c r="R163" i="8"/>
  <c r="P223" i="8"/>
  <c r="T223" i="8"/>
  <c r="P247" i="8"/>
  <c r="T247" i="8"/>
  <c r="Q203" i="8"/>
  <c r="U203" i="8"/>
  <c r="O49" i="8"/>
  <c r="O97" i="8"/>
  <c r="T257" i="8"/>
  <c r="N11" i="8"/>
  <c r="S11" i="8"/>
  <c r="P39" i="8"/>
  <c r="N59" i="8"/>
  <c r="S59" i="8"/>
  <c r="R87" i="8"/>
  <c r="O103" i="8"/>
  <c r="O187" i="8"/>
  <c r="T315" i="8"/>
  <c r="T94" i="8"/>
  <c r="P127" i="8"/>
  <c r="N147" i="8"/>
  <c r="S147" i="8"/>
  <c r="P163" i="8"/>
  <c r="Q223" i="8"/>
  <c r="Q247" i="8"/>
  <c r="S222" i="8"/>
  <c r="U284" i="8"/>
  <c r="S308" i="8"/>
  <c r="N13" i="8"/>
  <c r="O45" i="8"/>
  <c r="O93" i="8"/>
  <c r="T109" i="8"/>
  <c r="T141" i="8"/>
  <c r="Q189" i="8"/>
  <c r="O205" i="8"/>
  <c r="O214" i="8"/>
  <c r="V284" i="8"/>
  <c r="N209" i="8"/>
  <c r="N253" i="8"/>
  <c r="O13" i="8"/>
  <c r="O29" i="8"/>
  <c r="R45" i="8"/>
  <c r="O61" i="8"/>
  <c r="Q65" i="8"/>
  <c r="O77" i="8"/>
  <c r="R93" i="8"/>
  <c r="O109" i="8"/>
  <c r="U125" i="8"/>
  <c r="V141" i="8"/>
  <c r="T157" i="8"/>
  <c r="N173" i="8"/>
  <c r="T189" i="8"/>
  <c r="Q205" i="8"/>
  <c r="T221" i="8"/>
  <c r="O237" i="8"/>
  <c r="O253" i="8"/>
  <c r="V273" i="8"/>
  <c r="T305" i="8"/>
  <c r="U337" i="8"/>
  <c r="P86" i="8"/>
  <c r="V214" i="8"/>
  <c r="T347" i="8"/>
  <c r="N205" i="8"/>
  <c r="N29" i="8"/>
  <c r="N61" i="8"/>
  <c r="P125" i="8"/>
  <c r="O221" i="8"/>
  <c r="O336" i="8"/>
  <c r="N222" i="8"/>
  <c r="O86" i="8"/>
  <c r="T336" i="8"/>
  <c r="R295" i="8"/>
  <c r="N237" i="8"/>
  <c r="R13" i="8"/>
  <c r="S29" i="8"/>
  <c r="S45" i="8"/>
  <c r="R61" i="8"/>
  <c r="P77" i="8"/>
  <c r="S93" i="8"/>
  <c r="R109" i="8"/>
  <c r="S125" i="8"/>
  <c r="R157" i="8"/>
  <c r="U173" i="8"/>
  <c r="P237" i="8"/>
  <c r="P253" i="8"/>
  <c r="P78" i="8"/>
  <c r="O222" i="8"/>
  <c r="Q137" i="8"/>
  <c r="V137" i="8"/>
  <c r="T137" i="8"/>
  <c r="U137" i="8"/>
  <c r="U350" i="8"/>
  <c r="T350" i="8"/>
  <c r="P304" i="8"/>
  <c r="S304" i="8"/>
  <c r="Q58" i="8"/>
  <c r="R58" i="8"/>
  <c r="S349" i="8"/>
  <c r="R349" i="8"/>
  <c r="S365" i="8"/>
  <c r="U365" i="8"/>
  <c r="V272" i="8"/>
  <c r="N272" i="8"/>
  <c r="Q272" i="8"/>
  <c r="U272" i="8"/>
  <c r="P324" i="8"/>
  <c r="N324" i="8"/>
  <c r="T324" i="8"/>
  <c r="Q10" i="8"/>
  <c r="V10" i="8"/>
  <c r="O10" i="8"/>
  <c r="R10" i="8"/>
  <c r="T10" i="8"/>
  <c r="Q198" i="8"/>
  <c r="N198" i="8"/>
  <c r="T198" i="8"/>
  <c r="V198" i="8"/>
  <c r="O198" i="8"/>
  <c r="V9" i="8"/>
  <c r="Q9" i="8"/>
  <c r="T9" i="8"/>
  <c r="U9" i="8"/>
  <c r="P9" i="8"/>
  <c r="R25" i="8"/>
  <c r="N25" i="8"/>
  <c r="V25" i="8"/>
  <c r="Q25" i="8"/>
  <c r="T25" i="8"/>
  <c r="U41" i="8"/>
  <c r="P41" i="8"/>
  <c r="S41" i="8"/>
  <c r="O41" i="8"/>
  <c r="V57" i="8"/>
  <c r="Q57" i="8"/>
  <c r="N57" i="8"/>
  <c r="U57" i="8"/>
  <c r="T57" i="8"/>
  <c r="R73" i="8"/>
  <c r="O73" i="8"/>
  <c r="V73" i="8"/>
  <c r="Q73" i="8"/>
  <c r="N73" i="8"/>
  <c r="U89" i="8"/>
  <c r="T89" i="8"/>
  <c r="S89" i="8"/>
  <c r="P89" i="8"/>
  <c r="V105" i="8"/>
  <c r="Q105" i="8"/>
  <c r="N105" i="8"/>
  <c r="U105" i="8"/>
  <c r="T105" i="8"/>
  <c r="R121" i="8"/>
  <c r="O121" i="8"/>
  <c r="V121" i="8"/>
  <c r="Q121" i="8"/>
  <c r="N121" i="8"/>
  <c r="R153" i="8"/>
  <c r="N153" i="8"/>
  <c r="T153" i="8"/>
  <c r="Q153" i="8"/>
  <c r="V153" i="8"/>
  <c r="T169" i="8"/>
  <c r="N169" i="8"/>
  <c r="V169" i="8"/>
  <c r="O169" i="8"/>
  <c r="S169" i="8"/>
  <c r="R185" i="8"/>
  <c r="P185" i="8"/>
  <c r="Q185" i="8"/>
  <c r="U185" i="8"/>
  <c r="T201" i="8"/>
  <c r="S201" i="8"/>
  <c r="V201" i="8"/>
  <c r="P201" i="8"/>
  <c r="O201" i="8"/>
  <c r="U217" i="8"/>
  <c r="P217" i="8"/>
  <c r="S217" i="8"/>
  <c r="O217" i="8"/>
  <c r="R217" i="8"/>
  <c r="V233" i="8"/>
  <c r="P233" i="8"/>
  <c r="R233" i="8"/>
  <c r="S233" i="8"/>
  <c r="O233" i="8"/>
  <c r="V249" i="8"/>
  <c r="P249" i="8"/>
  <c r="S249" i="8"/>
  <c r="O249" i="8"/>
  <c r="R249" i="8"/>
  <c r="Q42" i="8"/>
  <c r="U42" i="8"/>
  <c r="O42" i="8"/>
  <c r="V42" i="8"/>
  <c r="P42" i="8"/>
  <c r="R42" i="8"/>
  <c r="S186" i="8"/>
  <c r="Q186" i="8"/>
  <c r="R186" i="8"/>
  <c r="V186" i="8"/>
  <c r="R272" i="8"/>
  <c r="T300" i="8"/>
  <c r="S9" i="8"/>
  <c r="Q41" i="8"/>
  <c r="R57" i="8"/>
  <c r="S73" i="8"/>
  <c r="N89" i="8"/>
  <c r="O105" i="8"/>
  <c r="R169" i="8"/>
  <c r="S185" i="8"/>
  <c r="T42" i="8"/>
  <c r="O186" i="8"/>
  <c r="N300" i="8"/>
  <c r="R300" i="8"/>
  <c r="P25" i="8"/>
  <c r="R41" i="8"/>
  <c r="S57" i="8"/>
  <c r="U73" i="8"/>
  <c r="O89" i="8"/>
  <c r="P105" i="8"/>
  <c r="S121" i="8"/>
  <c r="N137" i="8"/>
  <c r="R201" i="8"/>
  <c r="S10" i="8"/>
  <c r="U186" i="8"/>
  <c r="N201" i="8"/>
  <c r="N217" i="8"/>
  <c r="N233" i="8"/>
  <c r="N249" i="8"/>
  <c r="O9" i="8"/>
  <c r="S25" i="8"/>
  <c r="V41" i="8"/>
  <c r="O57" i="8"/>
  <c r="P73" i="8"/>
  <c r="Q89" i="8"/>
  <c r="R105" i="8"/>
  <c r="U121" i="8"/>
  <c r="O137" i="8"/>
  <c r="O153" i="8"/>
  <c r="T217" i="8"/>
  <c r="S198" i="8"/>
  <c r="P335" i="8"/>
  <c r="N78" i="8"/>
  <c r="P13" i="8"/>
  <c r="V13" i="8"/>
  <c r="Q29" i="8"/>
  <c r="P45" i="8"/>
  <c r="T45" i="8"/>
  <c r="P61" i="8"/>
  <c r="Q77" i="8"/>
  <c r="P93" i="8"/>
  <c r="V93" i="8"/>
  <c r="P109" i="8"/>
  <c r="V109" i="8"/>
  <c r="T125" i="8"/>
  <c r="R141" i="8"/>
  <c r="U157" i="8"/>
  <c r="S157" i="8"/>
  <c r="R173" i="8"/>
  <c r="U189" i="8"/>
  <c r="R189" i="8"/>
  <c r="R205" i="8"/>
  <c r="V221" i="8"/>
  <c r="U237" i="8"/>
  <c r="T253" i="8"/>
  <c r="R78" i="8"/>
  <c r="T86" i="8"/>
  <c r="P214" i="8"/>
  <c r="R222" i="8"/>
  <c r="T173" i="8"/>
  <c r="T284" i="8"/>
  <c r="S336" i="8"/>
  <c r="S335" i="8"/>
  <c r="R214" i="8"/>
  <c r="N86" i="8"/>
  <c r="U29" i="8"/>
  <c r="N77" i="8"/>
  <c r="N125" i="8"/>
  <c r="N141" i="8"/>
  <c r="Q173" i="8"/>
  <c r="T205" i="8"/>
  <c r="S86" i="8"/>
  <c r="R98" i="8"/>
  <c r="T98" i="8"/>
  <c r="S364" i="8"/>
  <c r="T364" i="8"/>
  <c r="S321" i="8"/>
  <c r="P321" i="8"/>
  <c r="R298" i="8"/>
  <c r="O298" i="8"/>
  <c r="N298" i="8"/>
  <c r="Q31" i="8"/>
  <c r="R31" i="8"/>
  <c r="U67" i="8"/>
  <c r="T67" i="8"/>
  <c r="T143" i="8"/>
  <c r="U143" i="8"/>
  <c r="V268" i="8"/>
  <c r="R268" i="8"/>
  <c r="N38" i="8"/>
  <c r="U38" i="8"/>
  <c r="Q351" i="8"/>
  <c r="S351" i="8"/>
  <c r="S341" i="8"/>
  <c r="U341" i="8"/>
  <c r="V357" i="8"/>
  <c r="P357" i="8"/>
  <c r="P373" i="8"/>
  <c r="O373" i="8"/>
  <c r="U311" i="8"/>
  <c r="Q311" i="8"/>
  <c r="S355" i="8"/>
  <c r="Q355" i="8"/>
  <c r="P288" i="8"/>
  <c r="V288" i="8"/>
  <c r="U288" i="8"/>
  <c r="Q288" i="8"/>
  <c r="O316" i="8"/>
  <c r="V316" i="8"/>
  <c r="S316" i="8"/>
  <c r="P316" i="8"/>
  <c r="Q264" i="8"/>
  <c r="P264" i="8"/>
  <c r="S264" i="8"/>
  <c r="O264" i="8"/>
  <c r="T264" i="8"/>
  <c r="N122" i="8"/>
  <c r="U122" i="8"/>
  <c r="Q122" i="8"/>
  <c r="R122" i="8"/>
  <c r="P122" i="8"/>
  <c r="V122" i="8"/>
  <c r="O122" i="8"/>
  <c r="U234" i="8"/>
  <c r="Q234" i="8"/>
  <c r="N234" i="8"/>
  <c r="T234" i="8"/>
  <c r="O234" i="8"/>
  <c r="V234" i="8"/>
  <c r="S234" i="8"/>
  <c r="S17" i="8"/>
  <c r="P17" i="8"/>
  <c r="U17" i="8"/>
  <c r="T17" i="8"/>
  <c r="V17" i="8"/>
  <c r="O17" i="8"/>
  <c r="R33" i="8"/>
  <c r="P33" i="8"/>
  <c r="U33" i="8"/>
  <c r="T33" i="8"/>
  <c r="S33" i="8"/>
  <c r="O33" i="8"/>
  <c r="V49" i="8"/>
  <c r="T49" i="8"/>
  <c r="R49" i="8"/>
  <c r="N49" i="8"/>
  <c r="Q49" i="8"/>
  <c r="T65" i="8"/>
  <c r="P65" i="8"/>
  <c r="S65" i="8"/>
  <c r="N65" i="8"/>
  <c r="R65" i="8"/>
  <c r="V65" i="8"/>
  <c r="V81" i="8"/>
  <c r="Q81" i="8"/>
  <c r="U81" i="8"/>
  <c r="P81" i="8"/>
  <c r="T81" i="8"/>
  <c r="O81" i="8"/>
  <c r="U97" i="8"/>
  <c r="Q97" i="8"/>
  <c r="N97" i="8"/>
  <c r="R97" i="8"/>
  <c r="V97" i="8"/>
  <c r="U113" i="8"/>
  <c r="R113" i="8"/>
  <c r="N113" i="8"/>
  <c r="T113" i="8"/>
  <c r="O113" i="8"/>
  <c r="S113" i="8"/>
  <c r="U129" i="8"/>
  <c r="Q129" i="8"/>
  <c r="V129" i="8"/>
  <c r="T129" i="8"/>
  <c r="O129" i="8"/>
  <c r="S129" i="8"/>
  <c r="N129" i="8"/>
  <c r="U145" i="8"/>
  <c r="R145" i="8"/>
  <c r="N145" i="8"/>
  <c r="T145" i="8"/>
  <c r="O145" i="8"/>
  <c r="Q145" i="8"/>
  <c r="P145" i="8"/>
  <c r="U161" i="8"/>
  <c r="Q161" i="8"/>
  <c r="N161" i="8"/>
  <c r="R161" i="8"/>
  <c r="T161" i="8"/>
  <c r="O161" i="8"/>
  <c r="S161" i="8"/>
  <c r="T177" i="8"/>
  <c r="P177" i="8"/>
  <c r="S177" i="8"/>
  <c r="N177" i="8"/>
  <c r="V177" i="8"/>
  <c r="R177" i="8"/>
  <c r="T193" i="8"/>
  <c r="P193" i="8"/>
  <c r="R193" i="8"/>
  <c r="Q193" i="8"/>
  <c r="V193" i="8"/>
  <c r="O193" i="8"/>
  <c r="V209" i="8"/>
  <c r="Q209" i="8"/>
  <c r="U209" i="8"/>
  <c r="P209" i="8"/>
  <c r="S209" i="8"/>
  <c r="R209" i="8"/>
  <c r="V225" i="8"/>
  <c r="R225" i="8"/>
  <c r="T225" i="8"/>
  <c r="O225" i="8"/>
  <c r="P225" i="8"/>
  <c r="U225" i="8"/>
  <c r="U241" i="8"/>
  <c r="V241" i="8"/>
  <c r="Q241" i="8"/>
  <c r="R241" i="8"/>
  <c r="P241" i="8"/>
  <c r="U257" i="8"/>
  <c r="V257" i="8"/>
  <c r="S257" i="8"/>
  <c r="O257" i="8"/>
  <c r="R257" i="8"/>
  <c r="Q257" i="8"/>
  <c r="U94" i="8"/>
  <c r="O94" i="8"/>
  <c r="R94" i="8"/>
  <c r="N94" i="8"/>
  <c r="P94" i="8"/>
  <c r="Q94" i="8"/>
  <c r="U250" i="8"/>
  <c r="R250" i="8"/>
  <c r="S250" i="8"/>
  <c r="T250" i="8"/>
  <c r="O250" i="8"/>
  <c r="N250" i="8"/>
  <c r="V250" i="8"/>
  <c r="Q250" i="8"/>
  <c r="S94" i="8"/>
  <c r="N264" i="8"/>
  <c r="R288" i="8"/>
  <c r="S340" i="8"/>
  <c r="Q17" i="8"/>
  <c r="V33" i="8"/>
  <c r="U49" i="8"/>
  <c r="N81" i="8"/>
  <c r="P97" i="8"/>
  <c r="P113" i="8"/>
  <c r="P129" i="8"/>
  <c r="S145" i="8"/>
  <c r="V161" i="8"/>
  <c r="N193" i="8"/>
  <c r="T241" i="8"/>
  <c r="P257" i="8"/>
  <c r="T122" i="8"/>
  <c r="V303" i="8"/>
  <c r="P303" i="8"/>
  <c r="T371" i="8"/>
  <c r="P371" i="8"/>
  <c r="Q308" i="8"/>
  <c r="O308" i="8"/>
  <c r="V78" i="8"/>
  <c r="S78" i="8"/>
  <c r="T78" i="8"/>
  <c r="O78" i="8"/>
  <c r="T214" i="8"/>
  <c r="S214" i="8"/>
  <c r="Q214" i="8"/>
  <c r="T13" i="8"/>
  <c r="U13" i="8"/>
  <c r="T29" i="8"/>
  <c r="P29" i="8"/>
  <c r="V45" i="8"/>
  <c r="Q45" i="8"/>
  <c r="N45" i="8"/>
  <c r="V61" i="8"/>
  <c r="T61" i="8"/>
  <c r="U61" i="8"/>
  <c r="V77" i="8"/>
  <c r="U77" i="8"/>
  <c r="T77" i="8"/>
  <c r="U93" i="8"/>
  <c r="Q93" i="8"/>
  <c r="N93" i="8"/>
  <c r="Q109" i="8"/>
  <c r="N109" i="8"/>
  <c r="Q125" i="8"/>
  <c r="O125" i="8"/>
  <c r="Q141" i="8"/>
  <c r="O141" i="8"/>
  <c r="U141" i="8"/>
  <c r="Q157" i="8"/>
  <c r="N157" i="8"/>
  <c r="V157" i="8"/>
  <c r="P157" i="8"/>
  <c r="S173" i="8"/>
  <c r="O173" i="8"/>
  <c r="P173" i="8"/>
  <c r="S189" i="8"/>
  <c r="P189" i="8"/>
  <c r="V189" i="8"/>
  <c r="O189" i="8"/>
  <c r="S205" i="8"/>
  <c r="P205" i="8"/>
  <c r="U205" i="8"/>
  <c r="U221" i="8"/>
  <c r="S221" i="8"/>
  <c r="Q221" i="8"/>
  <c r="P221" i="8"/>
  <c r="V237" i="8"/>
  <c r="Q237" i="8"/>
  <c r="R237" i="8"/>
  <c r="T237" i="8"/>
  <c r="V253" i="8"/>
  <c r="U253" i="8"/>
  <c r="Q253" i="8"/>
  <c r="V86" i="8"/>
  <c r="Q86" i="8"/>
  <c r="R86" i="8"/>
  <c r="V222" i="8"/>
  <c r="P222" i="8"/>
  <c r="Q222" i="8"/>
  <c r="P306" i="8"/>
  <c r="V306" i="8"/>
  <c r="N10" i="8"/>
  <c r="U10" i="8"/>
  <c r="P10" i="8"/>
  <c r="U198" i="8"/>
  <c r="P198" i="8"/>
  <c r="S137" i="8"/>
  <c r="P137" i="8"/>
  <c r="S153" i="8"/>
  <c r="P153" i="8"/>
  <c r="U169" i="8"/>
  <c r="P169" i="8"/>
  <c r="V185" i="8"/>
  <c r="T185" i="8"/>
  <c r="N185" i="8"/>
  <c r="U201" i="8"/>
  <c r="Q201" i="8"/>
  <c r="V217" i="8"/>
  <c r="Q217" i="8"/>
  <c r="U233" i="8"/>
  <c r="T233" i="8"/>
  <c r="U249" i="8"/>
  <c r="T249" i="8"/>
  <c r="N42" i="8"/>
  <c r="S42" i="8"/>
  <c r="N186" i="8"/>
  <c r="T186" i="8"/>
  <c r="P186" i="8"/>
  <c r="Q6" i="8"/>
  <c r="O6" i="8"/>
  <c r="R130" i="8"/>
  <c r="V130" i="8"/>
  <c r="S194" i="8"/>
  <c r="O194" i="8"/>
  <c r="Q328" i="8"/>
  <c r="O328" i="8"/>
  <c r="Q356" i="8"/>
  <c r="P356" i="8"/>
  <c r="S281" i="8"/>
  <c r="Q281" i="8"/>
  <c r="V297" i="8"/>
  <c r="T297" i="8"/>
  <c r="U313" i="8"/>
  <c r="R313" i="8"/>
  <c r="T329" i="8"/>
  <c r="Q329" i="8"/>
  <c r="N329" i="8"/>
  <c r="U290" i="8"/>
  <c r="V290" i="8"/>
  <c r="P330" i="8"/>
  <c r="Q330" i="8"/>
  <c r="Q370" i="8"/>
  <c r="U370" i="8"/>
  <c r="S51" i="8"/>
  <c r="V51" i="8"/>
  <c r="R179" i="8"/>
  <c r="P179" i="8"/>
  <c r="S278" i="8"/>
  <c r="P278" i="8"/>
  <c r="R22" i="8"/>
  <c r="Q22" i="8"/>
  <c r="T102" i="8"/>
  <c r="O102" i="8"/>
  <c r="P126" i="8"/>
  <c r="Q126" i="8"/>
  <c r="V154" i="8"/>
  <c r="O154" i="8"/>
  <c r="P218" i="8"/>
  <c r="Q218" i="8"/>
  <c r="R254" i="8"/>
  <c r="T254" i="8"/>
  <c r="T343" i="8"/>
  <c r="V343" i="8"/>
  <c r="S271" i="8"/>
  <c r="T271" i="8"/>
  <c r="P271" i="8"/>
  <c r="R331" i="8"/>
  <c r="P331" i="8"/>
  <c r="P272" i="8"/>
  <c r="T272" i="8"/>
  <c r="O272" i="8"/>
  <c r="S272" i="8"/>
  <c r="O300" i="8"/>
  <c r="U300" i="8"/>
  <c r="P300" i="8"/>
  <c r="S300" i="8"/>
  <c r="Q300" i="8"/>
  <c r="Q324" i="8"/>
  <c r="O324" i="8"/>
  <c r="S324" i="8"/>
  <c r="V324" i="8"/>
  <c r="R324" i="8"/>
  <c r="U324" i="8"/>
  <c r="P284" i="8"/>
  <c r="N284" i="8"/>
  <c r="N308" i="8"/>
  <c r="N336" i="8"/>
  <c r="R284" i="8"/>
  <c r="T308" i="8"/>
  <c r="V308" i="8"/>
  <c r="U336" i="8"/>
  <c r="O347" i="8"/>
  <c r="Q279" i="8"/>
  <c r="Q336" i="8"/>
  <c r="N288" i="8"/>
  <c r="N316" i="8"/>
  <c r="R264" i="8"/>
  <c r="T268" i="8"/>
  <c r="S284" i="8"/>
  <c r="S288" i="8"/>
  <c r="R308" i="8"/>
  <c r="U316" i="8"/>
  <c r="R336" i="8"/>
  <c r="V336" i="8"/>
  <c r="N110" i="8"/>
  <c r="N373" i="8"/>
  <c r="P308" i="8"/>
  <c r="O288" i="8"/>
  <c r="Q284" i="8"/>
  <c r="P18" i="8"/>
  <c r="R18" i="8"/>
  <c r="Q296" i="8"/>
  <c r="U296" i="8"/>
  <c r="N296" i="8"/>
  <c r="S322" i="8"/>
  <c r="V322" i="8"/>
  <c r="V31" i="8"/>
  <c r="N31" i="8"/>
  <c r="T31" i="8"/>
  <c r="P143" i="8"/>
  <c r="N143" i="8"/>
  <c r="U323" i="8"/>
  <c r="Q323" i="8"/>
  <c r="P358" i="8"/>
  <c r="Q358" i="8"/>
  <c r="S202" i="8"/>
  <c r="R202" i="8"/>
  <c r="U283" i="8"/>
  <c r="S283" i="8"/>
  <c r="N283" i="8"/>
  <c r="V283" i="8"/>
  <c r="O283" i="8"/>
  <c r="T283" i="8"/>
  <c r="U315" i="8"/>
  <c r="Q315" i="8"/>
  <c r="R315" i="8"/>
  <c r="T351" i="8"/>
  <c r="O351" i="8"/>
  <c r="R351" i="8"/>
  <c r="T341" i="8"/>
  <c r="P341" i="8"/>
  <c r="R341" i="8"/>
  <c r="N341" i="8"/>
  <c r="T357" i="8"/>
  <c r="Q357" i="8"/>
  <c r="S357" i="8"/>
  <c r="O357" i="8"/>
  <c r="V373" i="8"/>
  <c r="U373" i="8"/>
  <c r="Q373" i="8"/>
  <c r="S311" i="8"/>
  <c r="O311" i="8"/>
  <c r="T311" i="8"/>
  <c r="N311" i="8"/>
  <c r="R311" i="8"/>
  <c r="T355" i="8"/>
  <c r="P355" i="8"/>
  <c r="N355" i="8"/>
  <c r="U355" i="8"/>
  <c r="O355" i="8"/>
  <c r="R355" i="8"/>
  <c r="S296" i="8"/>
  <c r="O323" i="8"/>
  <c r="R289" i="8"/>
  <c r="O341" i="8"/>
  <c r="V341" i="8"/>
  <c r="U357" i="8"/>
  <c r="R373" i="8"/>
  <c r="N315" i="8"/>
  <c r="O67" i="8"/>
  <c r="O315" i="8"/>
  <c r="V315" i="8"/>
  <c r="U351" i="8"/>
  <c r="N358" i="8"/>
  <c r="T74" i="8"/>
  <c r="U138" i="8"/>
  <c r="Q238" i="8"/>
  <c r="V235" i="8"/>
  <c r="R283" i="8"/>
  <c r="V311" i="8"/>
  <c r="V355" i="8"/>
  <c r="S30" i="8"/>
  <c r="U30" i="8"/>
  <c r="Q62" i="8"/>
  <c r="P62" i="8"/>
  <c r="R242" i="8"/>
  <c r="V242" i="8"/>
  <c r="Q312" i="8"/>
  <c r="P312" i="8"/>
  <c r="T312" i="8"/>
  <c r="P352" i="8"/>
  <c r="V352" i="8"/>
  <c r="N352" i="8"/>
  <c r="P368" i="8"/>
  <c r="O368" i="8"/>
  <c r="T368" i="8"/>
  <c r="V277" i="8"/>
  <c r="O277" i="8"/>
  <c r="N277" i="8"/>
  <c r="Q277" i="8"/>
  <c r="V293" i="8"/>
  <c r="O293" i="8"/>
  <c r="S293" i="8"/>
  <c r="S309" i="8"/>
  <c r="P309" i="8"/>
  <c r="U309" i="8"/>
  <c r="S325" i="8"/>
  <c r="R325" i="8"/>
  <c r="P325" i="8"/>
  <c r="Q266" i="8"/>
  <c r="S266" i="8"/>
  <c r="Q346" i="8"/>
  <c r="N346" i="8"/>
  <c r="S346" i="8"/>
  <c r="R366" i="8"/>
  <c r="N366" i="8"/>
  <c r="S35" i="8"/>
  <c r="Q35" i="8"/>
  <c r="T79" i="8"/>
  <c r="V79" i="8"/>
  <c r="R79" i="8"/>
  <c r="S79" i="8"/>
  <c r="V171" i="8"/>
  <c r="N171" i="8"/>
  <c r="O171" i="8"/>
  <c r="Q171" i="8"/>
  <c r="U243" i="8"/>
  <c r="R243" i="8"/>
  <c r="T243" i="8"/>
  <c r="Q276" i="8"/>
  <c r="P276" i="8"/>
  <c r="N276" i="8"/>
  <c r="N275" i="8"/>
  <c r="V275" i="8"/>
  <c r="Q275" i="8"/>
  <c r="N339" i="8"/>
  <c r="S339" i="8"/>
  <c r="T339" i="8"/>
  <c r="P54" i="8"/>
  <c r="S54" i="8"/>
  <c r="R90" i="8"/>
  <c r="O90" i="8"/>
  <c r="P118" i="8"/>
  <c r="Q118" i="8"/>
  <c r="N118" i="8"/>
  <c r="O142" i="8"/>
  <c r="R142" i="8"/>
  <c r="T174" i="8"/>
  <c r="U174" i="8"/>
  <c r="N174" i="8"/>
  <c r="R206" i="8"/>
  <c r="V206" i="8"/>
  <c r="N206" i="8"/>
  <c r="N287" i="8"/>
  <c r="V287" i="8"/>
  <c r="R287" i="8"/>
  <c r="U327" i="8"/>
  <c r="Q327" i="8"/>
  <c r="V327" i="8"/>
  <c r="P327" i="8"/>
  <c r="N327" i="8"/>
  <c r="N359" i="8"/>
  <c r="U359" i="8"/>
  <c r="Q359" i="8"/>
  <c r="T359" i="8"/>
  <c r="T345" i="8"/>
  <c r="P345" i="8"/>
  <c r="N345" i="8"/>
  <c r="V345" i="8"/>
  <c r="O345" i="8"/>
  <c r="U361" i="8"/>
  <c r="Q361" i="8"/>
  <c r="R361" i="8"/>
  <c r="T267" i="8"/>
  <c r="P267" i="8"/>
  <c r="S267" i="8"/>
  <c r="S319" i="8"/>
  <c r="O319" i="8"/>
  <c r="V319" i="8"/>
  <c r="Q319" i="8"/>
  <c r="U319" i="8"/>
  <c r="P319" i="8"/>
  <c r="N363" i="8"/>
  <c r="R363" i="8"/>
  <c r="O363" i="8"/>
  <c r="U363" i="8"/>
  <c r="P363" i="8"/>
  <c r="T338" i="8"/>
  <c r="N312" i="8"/>
  <c r="V312" i="8"/>
  <c r="T352" i="8"/>
  <c r="V368" i="8"/>
  <c r="R275" i="8"/>
  <c r="Q287" i="8"/>
  <c r="R323" i="8"/>
  <c r="O359" i="8"/>
  <c r="V359" i="8"/>
  <c r="N30" i="8"/>
  <c r="N357" i="8"/>
  <c r="T277" i="8"/>
  <c r="O305" i="8"/>
  <c r="U325" i="8"/>
  <c r="Q341" i="8"/>
  <c r="Q345" i="8"/>
  <c r="R357" i="8"/>
  <c r="S361" i="8"/>
  <c r="S373" i="8"/>
  <c r="N351" i="8"/>
  <c r="P67" i="8"/>
  <c r="O79" i="8"/>
  <c r="V243" i="8"/>
  <c r="U267" i="8"/>
  <c r="P315" i="8"/>
  <c r="O327" i="8"/>
  <c r="O339" i="8"/>
  <c r="P351" i="8"/>
  <c r="V351" i="8"/>
  <c r="V363" i="8"/>
  <c r="N2" i="8"/>
  <c r="T38" i="8"/>
  <c r="P90" i="8"/>
  <c r="V118" i="8"/>
  <c r="V138" i="8"/>
  <c r="R174" i="8"/>
  <c r="O206" i="8"/>
  <c r="O242" i="8"/>
  <c r="V246" i="8"/>
  <c r="V286" i="8"/>
  <c r="U302" i="8"/>
  <c r="O346" i="8"/>
  <c r="S366" i="8"/>
  <c r="S3" i="8"/>
  <c r="T35" i="8"/>
  <c r="T171" i="8"/>
  <c r="P311" i="8"/>
  <c r="R319" i="8"/>
  <c r="U166" i="8"/>
  <c r="R166" i="8"/>
  <c r="U279" i="8"/>
  <c r="R279" i="8"/>
  <c r="T303" i="8"/>
  <c r="U303" i="8"/>
  <c r="N347" i="8"/>
  <c r="R347" i="8"/>
  <c r="N371" i="8"/>
  <c r="R371" i="8"/>
  <c r="U353" i="8"/>
  <c r="V353" i="8"/>
  <c r="U369" i="8"/>
  <c r="S369" i="8"/>
  <c r="N295" i="8"/>
  <c r="V295" i="8"/>
  <c r="N335" i="8"/>
  <c r="T335" i="8"/>
  <c r="R372" i="8"/>
  <c r="T370" i="8"/>
  <c r="N126" i="8"/>
  <c r="T281" i="8"/>
  <c r="R297" i="8"/>
  <c r="R329" i="8"/>
  <c r="T349" i="8"/>
  <c r="P291" i="8"/>
  <c r="P6" i="8"/>
  <c r="V58" i="8"/>
  <c r="R102" i="8"/>
  <c r="U130" i="8"/>
  <c r="R154" i="8"/>
  <c r="U218" i="8"/>
  <c r="R270" i="8"/>
  <c r="U306" i="8"/>
  <c r="N331" i="8"/>
  <c r="U271" i="8"/>
  <c r="Q331" i="8"/>
  <c r="U331" i="8"/>
  <c r="T367" i="8"/>
  <c r="R106" i="8"/>
  <c r="N356" i="8"/>
  <c r="T328" i="8"/>
  <c r="S356" i="8"/>
  <c r="U372" i="8"/>
  <c r="T179" i="8"/>
  <c r="O295" i="8"/>
  <c r="S295" i="8"/>
  <c r="Q335" i="8"/>
  <c r="U335" i="8"/>
  <c r="Q347" i="8"/>
  <c r="U347" i="8"/>
  <c r="Q371" i="8"/>
  <c r="U371" i="8"/>
  <c r="S126" i="8"/>
  <c r="N102" i="8"/>
  <c r="N182" i="8"/>
  <c r="N297" i="8"/>
  <c r="N369" i="8"/>
  <c r="V281" i="8"/>
  <c r="U297" i="8"/>
  <c r="O313" i="8"/>
  <c r="V329" i="8"/>
  <c r="P353" i="8"/>
  <c r="T353" i="8"/>
  <c r="P369" i="8"/>
  <c r="T369" i="8"/>
  <c r="Q51" i="8"/>
  <c r="S107" i="8"/>
  <c r="T279" i="8"/>
  <c r="T291" i="8"/>
  <c r="R303" i="8"/>
  <c r="N270" i="8"/>
  <c r="N306" i="8"/>
  <c r="T6" i="8"/>
  <c r="P26" i="8"/>
  <c r="R34" i="8"/>
  <c r="O66" i="8"/>
  <c r="V126" i="8"/>
  <c r="U154" i="8"/>
  <c r="Q182" i="8"/>
  <c r="V194" i="8"/>
  <c r="Q258" i="8"/>
  <c r="R290" i="8"/>
  <c r="R306" i="8"/>
  <c r="Q310" i="8"/>
  <c r="O370" i="8"/>
  <c r="N271" i="8"/>
  <c r="R271" i="8"/>
  <c r="V271" i="8"/>
  <c r="V299" i="8"/>
  <c r="S331" i="8"/>
  <c r="V331" i="8"/>
  <c r="T304" i="8"/>
  <c r="S328" i="8"/>
  <c r="Q179" i="8"/>
  <c r="N281" i="8"/>
  <c r="S313" i="8"/>
  <c r="N107" i="8"/>
  <c r="R66" i="8"/>
  <c r="O258" i="8"/>
  <c r="V278" i="8"/>
  <c r="U330" i="8"/>
  <c r="R370" i="8"/>
  <c r="Q271" i="8"/>
  <c r="Q304" i="8"/>
  <c r="N328" i="8"/>
  <c r="T356" i="8"/>
  <c r="U179" i="8"/>
  <c r="P295" i="8"/>
  <c r="T295" i="8"/>
  <c r="R335" i="8"/>
  <c r="V335" i="8"/>
  <c r="S347" i="8"/>
  <c r="V347" i="8"/>
  <c r="S371" i="8"/>
  <c r="V371" i="8"/>
  <c r="N6" i="8"/>
  <c r="N353" i="8"/>
  <c r="U281" i="8"/>
  <c r="O297" i="8"/>
  <c r="P313" i="8"/>
  <c r="U329" i="8"/>
  <c r="O349" i="8"/>
  <c r="Q353" i="8"/>
  <c r="Q369" i="8"/>
  <c r="P279" i="8"/>
  <c r="N278" i="8"/>
  <c r="N314" i="8"/>
  <c r="U6" i="8"/>
  <c r="V66" i="8"/>
  <c r="Q290" i="8"/>
  <c r="Q350" i="8"/>
  <c r="V370" i="8"/>
  <c r="O271" i="8"/>
  <c r="O331" i="8"/>
  <c r="N34" i="8"/>
  <c r="U34" i="8"/>
  <c r="P34" i="8"/>
  <c r="Q130" i="8"/>
  <c r="T130" i="8"/>
  <c r="N130" i="8"/>
  <c r="P130" i="8"/>
  <c r="N194" i="8"/>
  <c r="T194" i="8"/>
  <c r="R194" i="8"/>
  <c r="Q372" i="8"/>
  <c r="O372" i="8"/>
  <c r="P372" i="8"/>
  <c r="U270" i="8"/>
  <c r="P270" i="8"/>
  <c r="R310" i="8"/>
  <c r="U310" i="8"/>
  <c r="O310" i="8"/>
  <c r="N310" i="8"/>
  <c r="S330" i="8"/>
  <c r="O330" i="8"/>
  <c r="T51" i="8"/>
  <c r="P51" i="8"/>
  <c r="R107" i="8"/>
  <c r="O107" i="8"/>
  <c r="T306" i="8"/>
  <c r="O306" i="8"/>
  <c r="R291" i="8"/>
  <c r="O291" i="8"/>
  <c r="N291" i="8"/>
  <c r="U278" i="8"/>
  <c r="O278" i="8"/>
  <c r="U22" i="8"/>
  <c r="P22" i="8"/>
  <c r="N58" i="8"/>
  <c r="T58" i="8"/>
  <c r="P58" i="8"/>
  <c r="U102" i="8"/>
  <c r="Q102" i="8"/>
  <c r="U126" i="8"/>
  <c r="O126" i="8"/>
  <c r="N154" i="8"/>
  <c r="T154" i="8"/>
  <c r="P154" i="8"/>
  <c r="R182" i="8"/>
  <c r="T182" i="8"/>
  <c r="S182" i="8"/>
  <c r="V218" i="8"/>
  <c r="R218" i="8"/>
  <c r="N218" i="8"/>
  <c r="U254" i="8"/>
  <c r="P254" i="8"/>
  <c r="T299" i="8"/>
  <c r="P299" i="8"/>
  <c r="U299" i="8"/>
  <c r="Q299" i="8"/>
  <c r="S343" i="8"/>
  <c r="P343" i="8"/>
  <c r="U343" i="8"/>
  <c r="Q343" i="8"/>
  <c r="N343" i="8"/>
  <c r="S367" i="8"/>
  <c r="P367" i="8"/>
  <c r="U367" i="8"/>
  <c r="Q367" i="8"/>
  <c r="R365" i="8"/>
  <c r="O365" i="8"/>
  <c r="S350" i="8"/>
  <c r="N372" i="8"/>
  <c r="U304" i="8"/>
  <c r="U328" i="8"/>
  <c r="U356" i="8"/>
  <c r="S372" i="8"/>
  <c r="N179" i="8"/>
  <c r="S179" i="8"/>
  <c r="V179" i="8"/>
  <c r="S254" i="8"/>
  <c r="R278" i="8"/>
  <c r="N22" i="8"/>
  <c r="O281" i="8"/>
  <c r="R281" i="8"/>
  <c r="P297" i="8"/>
  <c r="S297" i="8"/>
  <c r="Q313" i="8"/>
  <c r="V313" i="8"/>
  <c r="O329" i="8"/>
  <c r="S329" i="8"/>
  <c r="P349" i="8"/>
  <c r="U349" i="8"/>
  <c r="P365" i="8"/>
  <c r="T365" i="8"/>
  <c r="N299" i="8"/>
  <c r="N367" i="8"/>
  <c r="N51" i="8"/>
  <c r="R51" i="8"/>
  <c r="P107" i="8"/>
  <c r="U107" i="8"/>
  <c r="Q291" i="8"/>
  <c r="V291" i="8"/>
  <c r="N254" i="8"/>
  <c r="N330" i="8"/>
  <c r="N370" i="8"/>
  <c r="S22" i="8"/>
  <c r="T22" i="8"/>
  <c r="T34" i="8"/>
  <c r="S58" i="8"/>
  <c r="P102" i="8"/>
  <c r="V102" i="8"/>
  <c r="T126" i="8"/>
  <c r="O130" i="8"/>
  <c r="Q154" i="8"/>
  <c r="U182" i="8"/>
  <c r="P194" i="8"/>
  <c r="U194" i="8"/>
  <c r="S218" i="8"/>
  <c r="O254" i="8"/>
  <c r="V254" i="8"/>
  <c r="O270" i="8"/>
  <c r="T270" i="8"/>
  <c r="Q278" i="8"/>
  <c r="T290" i="8"/>
  <c r="Q306" i="8"/>
  <c r="S310" i="8"/>
  <c r="V310" i="8"/>
  <c r="R330" i="8"/>
  <c r="O350" i="8"/>
  <c r="P370" i="8"/>
  <c r="O299" i="8"/>
  <c r="O343" i="8"/>
  <c r="O367" i="8"/>
  <c r="O356" i="8"/>
  <c r="N279" i="8"/>
  <c r="S279" i="8"/>
  <c r="O279" i="8"/>
  <c r="N303" i="8"/>
  <c r="S303" i="8"/>
  <c r="O303" i="8"/>
  <c r="R353" i="8"/>
  <c r="O353" i="8"/>
  <c r="R369" i="8"/>
  <c r="O369" i="8"/>
  <c r="V6" i="8"/>
  <c r="S6" i="8"/>
  <c r="Q66" i="8"/>
  <c r="N66" i="8"/>
  <c r="U66" i="8"/>
  <c r="P66" i="8"/>
  <c r="U258" i="8"/>
  <c r="P258" i="8"/>
  <c r="N258" i="8"/>
  <c r="S290" i="8"/>
  <c r="O290" i="8"/>
  <c r="N290" i="8"/>
  <c r="R350" i="8"/>
  <c r="N350" i="8"/>
  <c r="N304" i="8"/>
  <c r="R304" i="8"/>
  <c r="V304" i="8"/>
  <c r="R328" i="8"/>
  <c r="V328" i="8"/>
  <c r="R356" i="8"/>
  <c r="V356" i="8"/>
  <c r="T372" i="8"/>
  <c r="O179" i="8"/>
  <c r="Q34" i="8"/>
  <c r="N313" i="8"/>
  <c r="N349" i="8"/>
  <c r="N365" i="8"/>
  <c r="P281" i="8"/>
  <c r="Q297" i="8"/>
  <c r="T313" i="8"/>
  <c r="P329" i="8"/>
  <c r="Q349" i="8"/>
  <c r="V349" i="8"/>
  <c r="Q365" i="8"/>
  <c r="V365" i="8"/>
  <c r="O51" i="8"/>
  <c r="U51" i="8"/>
  <c r="Q107" i="8"/>
  <c r="V107" i="8"/>
  <c r="S291" i="8"/>
  <c r="T258" i="8"/>
  <c r="O304" i="8"/>
  <c r="R6" i="8"/>
  <c r="O22" i="8"/>
  <c r="V22" i="8"/>
  <c r="V34" i="8"/>
  <c r="O58" i="8"/>
  <c r="U58" i="8"/>
  <c r="S66" i="8"/>
  <c r="S102" i="8"/>
  <c r="R126" i="8"/>
  <c r="S130" i="8"/>
  <c r="S154" i="8"/>
  <c r="O182" i="8"/>
  <c r="V182" i="8"/>
  <c r="Q194" i="8"/>
  <c r="O218" i="8"/>
  <c r="T218" i="8"/>
  <c r="Q254" i="8"/>
  <c r="R258" i="8"/>
  <c r="S258" i="8"/>
  <c r="Q270" i="8"/>
  <c r="V270" i="8"/>
  <c r="T278" i="8"/>
  <c r="P290" i="8"/>
  <c r="S306" i="8"/>
  <c r="P310" i="8"/>
  <c r="T330" i="8"/>
  <c r="V330" i="8"/>
  <c r="P350" i="8"/>
  <c r="V350" i="8"/>
  <c r="S370" i="8"/>
  <c r="S299" i="8"/>
  <c r="R343" i="8"/>
  <c r="R367" i="8"/>
  <c r="P328" i="8"/>
  <c r="Q283" i="8"/>
  <c r="U14" i="8"/>
  <c r="R14" i="8"/>
  <c r="O14" i="8"/>
  <c r="U46" i="8"/>
  <c r="R46" i="8"/>
  <c r="O46" i="8"/>
  <c r="N82" i="8"/>
  <c r="P82" i="8"/>
  <c r="V82" i="8"/>
  <c r="N146" i="8"/>
  <c r="R146" i="8"/>
  <c r="U146" i="8"/>
  <c r="S210" i="8"/>
  <c r="T210" i="8"/>
  <c r="O210" i="8"/>
  <c r="Q344" i="8"/>
  <c r="N344" i="8"/>
  <c r="Q360" i="8"/>
  <c r="T360" i="8"/>
  <c r="N360" i="8"/>
  <c r="V269" i="8"/>
  <c r="O269" i="8"/>
  <c r="V285" i="8"/>
  <c r="T285" i="8"/>
  <c r="T301" i="8"/>
  <c r="R301" i="8"/>
  <c r="O301" i="8"/>
  <c r="T317" i="8"/>
  <c r="R317" i="8"/>
  <c r="O317" i="8"/>
  <c r="R333" i="8"/>
  <c r="P333" i="8"/>
  <c r="U274" i="8"/>
  <c r="R274" i="8"/>
  <c r="S274" i="8"/>
  <c r="U294" i="8"/>
  <c r="V294" i="8"/>
  <c r="Q294" i="8"/>
  <c r="R294" i="8"/>
  <c r="S318" i="8"/>
  <c r="T318" i="8"/>
  <c r="O318" i="8"/>
  <c r="U334" i="8"/>
  <c r="T334" i="8"/>
  <c r="V354" i="8"/>
  <c r="S354" i="8"/>
  <c r="P354" i="8"/>
  <c r="U19" i="8"/>
  <c r="Q19" i="8"/>
  <c r="V19" i="8"/>
  <c r="P19" i="8"/>
  <c r="T19" i="8"/>
  <c r="O19" i="8"/>
  <c r="R19" i="8"/>
  <c r="N19" i="8"/>
  <c r="T63" i="8"/>
  <c r="P63" i="8"/>
  <c r="S63" i="8"/>
  <c r="N63" i="8"/>
  <c r="Q63" i="8"/>
  <c r="V63" i="8"/>
  <c r="U63" i="8"/>
  <c r="R63" i="8"/>
  <c r="R115" i="8"/>
  <c r="O115" i="8"/>
  <c r="U115" i="8"/>
  <c r="P115" i="8"/>
  <c r="T115" i="8"/>
  <c r="N115" i="8"/>
  <c r="S115" i="8"/>
  <c r="N207" i="8"/>
  <c r="U207" i="8"/>
  <c r="Q207" i="8"/>
  <c r="R207" i="8"/>
  <c r="V207" i="8"/>
  <c r="P207" i="8"/>
  <c r="T207" i="8"/>
  <c r="O207" i="8"/>
  <c r="V342" i="8"/>
  <c r="P342" i="8"/>
  <c r="Q342" i="8"/>
  <c r="N342" i="8"/>
  <c r="R342" i="8"/>
  <c r="O342" i="8"/>
  <c r="T342" i="8"/>
  <c r="S342" i="8"/>
  <c r="O332" i="8"/>
  <c r="T332" i="8"/>
  <c r="N332" i="8"/>
  <c r="Q332" i="8"/>
  <c r="V332" i="8"/>
  <c r="U332" i="8"/>
  <c r="S332" i="8"/>
  <c r="P332" i="8"/>
  <c r="U269" i="8"/>
  <c r="N280" i="8"/>
  <c r="S280" i="8"/>
  <c r="R332" i="8"/>
  <c r="T344" i="8"/>
  <c r="Q115" i="8"/>
  <c r="N307" i="8"/>
  <c r="T307" i="8"/>
  <c r="P307" i="8"/>
  <c r="T314" i="8"/>
  <c r="Q314" i="8"/>
  <c r="V314" i="8"/>
  <c r="O314" i="8"/>
  <c r="S314" i="8"/>
  <c r="N26" i="8"/>
  <c r="S26" i="8"/>
  <c r="R26" i="8"/>
  <c r="V70" i="8"/>
  <c r="S70" i="8"/>
  <c r="T70" i="8"/>
  <c r="O70" i="8"/>
  <c r="N106" i="8"/>
  <c r="T106" i="8"/>
  <c r="O106" i="8"/>
  <c r="U106" i="8"/>
  <c r="S106" i="8"/>
  <c r="V134" i="8"/>
  <c r="S134" i="8"/>
  <c r="U134" i="8"/>
  <c r="P134" i="8"/>
  <c r="T134" i="8"/>
  <c r="O134" i="8"/>
  <c r="T166" i="8"/>
  <c r="O166" i="8"/>
  <c r="S166" i="8"/>
  <c r="V166" i="8"/>
  <c r="P166" i="8"/>
  <c r="S190" i="8"/>
  <c r="T190" i="8"/>
  <c r="O190" i="8"/>
  <c r="Q190" i="8"/>
  <c r="N190" i="8"/>
  <c r="V190" i="8"/>
  <c r="P190" i="8"/>
  <c r="V230" i="8"/>
  <c r="Q230" i="8"/>
  <c r="S230" i="8"/>
  <c r="R230" i="8"/>
  <c r="P230" i="8"/>
  <c r="R307" i="8"/>
  <c r="Q26" i="8"/>
  <c r="R70" i="8"/>
  <c r="R134" i="8"/>
  <c r="R314" i="8"/>
  <c r="N18" i="8"/>
  <c r="U18" i="8"/>
  <c r="N50" i="8"/>
  <c r="U50" i="8"/>
  <c r="P50" i="8"/>
  <c r="N98" i="8"/>
  <c r="V98" i="8"/>
  <c r="N162" i="8"/>
  <c r="T162" i="8"/>
  <c r="O162" i="8"/>
  <c r="U226" i="8"/>
  <c r="T226" i="8"/>
  <c r="Q226" i="8"/>
  <c r="R226" i="8"/>
  <c r="O348" i="8"/>
  <c r="N348" i="8"/>
  <c r="O364" i="8"/>
  <c r="N364" i="8"/>
  <c r="U273" i="8"/>
  <c r="O273" i="8"/>
  <c r="U289" i="8"/>
  <c r="P289" i="8"/>
  <c r="R305" i="8"/>
  <c r="P305" i="8"/>
  <c r="R321" i="8"/>
  <c r="Q321" i="8"/>
  <c r="S337" i="8"/>
  <c r="Q337" i="8"/>
  <c r="S282" i="8"/>
  <c r="V282" i="8"/>
  <c r="T282" i="8"/>
  <c r="T298" i="8"/>
  <c r="U298" i="8"/>
  <c r="S298" i="8"/>
  <c r="T322" i="8"/>
  <c r="O322" i="8"/>
  <c r="P322" i="8"/>
  <c r="V338" i="8"/>
  <c r="Q338" i="8"/>
  <c r="P338" i="8"/>
  <c r="U362" i="8"/>
  <c r="Q362" i="8"/>
  <c r="V362" i="8"/>
  <c r="N362" i="8"/>
  <c r="R362" i="8"/>
  <c r="S31" i="8"/>
  <c r="O31" i="8"/>
  <c r="V67" i="8"/>
  <c r="S67" i="8"/>
  <c r="N67" i="8"/>
  <c r="S143" i="8"/>
  <c r="O143" i="8"/>
  <c r="R235" i="8"/>
  <c r="O235" i="8"/>
  <c r="S235" i="8"/>
  <c r="U235" i="8"/>
  <c r="Q235" i="8"/>
  <c r="O268" i="8"/>
  <c r="S268" i="8"/>
  <c r="N268" i="8"/>
  <c r="Q268" i="8"/>
  <c r="Q340" i="8"/>
  <c r="V340" i="8"/>
  <c r="R340" i="8"/>
  <c r="T323" i="8"/>
  <c r="P323" i="8"/>
  <c r="U358" i="8"/>
  <c r="O358" i="8"/>
  <c r="T358" i="8"/>
  <c r="S358" i="8"/>
  <c r="R38" i="8"/>
  <c r="O38" i="8"/>
  <c r="S38" i="8"/>
  <c r="N74" i="8"/>
  <c r="S74" i="8"/>
  <c r="Q74" i="8"/>
  <c r="R110" i="8"/>
  <c r="O110" i="8"/>
  <c r="S110" i="8"/>
  <c r="V110" i="8"/>
  <c r="P110" i="8"/>
  <c r="N138" i="8"/>
  <c r="S138" i="8"/>
  <c r="T138" i="8"/>
  <c r="Q138" i="8"/>
  <c r="N170" i="8"/>
  <c r="T170" i="8"/>
  <c r="P170" i="8"/>
  <c r="U170" i="8"/>
  <c r="O170" i="8"/>
  <c r="Q170" i="8"/>
  <c r="U202" i="8"/>
  <c r="Q202" i="8"/>
  <c r="V202" i="8"/>
  <c r="P202" i="8"/>
  <c r="T202" i="8"/>
  <c r="O202" i="8"/>
  <c r="V238" i="8"/>
  <c r="R238" i="8"/>
  <c r="T238" i="8"/>
  <c r="P238" i="8"/>
  <c r="U238" i="8"/>
  <c r="O238" i="8"/>
  <c r="N340" i="8"/>
  <c r="U268" i="8"/>
  <c r="T340" i="8"/>
  <c r="T348" i="8"/>
  <c r="N323" i="8"/>
  <c r="O307" i="8"/>
  <c r="U307" i="8"/>
  <c r="S323" i="8"/>
  <c r="V337" i="8"/>
  <c r="N70" i="8"/>
  <c r="N134" i="8"/>
  <c r="N166" i="8"/>
  <c r="R273" i="8"/>
  <c r="O289" i="8"/>
  <c r="T321" i="8"/>
  <c r="T337" i="8"/>
  <c r="P31" i="8"/>
  <c r="U31" i="8"/>
  <c r="Q67" i="8"/>
  <c r="R143" i="8"/>
  <c r="V143" i="8"/>
  <c r="R358" i="8"/>
  <c r="P340" i="8"/>
  <c r="N202" i="8"/>
  <c r="N282" i="8"/>
  <c r="V18" i="8"/>
  <c r="T26" i="8"/>
  <c r="P38" i="8"/>
  <c r="V38" i="8"/>
  <c r="U70" i="8"/>
  <c r="U74" i="8"/>
  <c r="P106" i="8"/>
  <c r="U110" i="8"/>
  <c r="O138" i="8"/>
  <c r="Q162" i="8"/>
  <c r="S170" i="8"/>
  <c r="O230" i="8"/>
  <c r="S238" i="8"/>
  <c r="U314" i="8"/>
  <c r="V358" i="8"/>
  <c r="P235" i="8"/>
  <c r="Q307" i="8"/>
  <c r="V307" i="8"/>
  <c r="R67" i="8"/>
  <c r="Q143" i="8"/>
  <c r="N230" i="8"/>
  <c r="O26" i="8"/>
  <c r="U26" i="8"/>
  <c r="Q38" i="8"/>
  <c r="R50" i="8"/>
  <c r="P70" i="8"/>
  <c r="O74" i="8"/>
  <c r="V74" i="8"/>
  <c r="Q106" i="8"/>
  <c r="T110" i="8"/>
  <c r="P138" i="8"/>
  <c r="Q166" i="8"/>
  <c r="V170" i="8"/>
  <c r="R190" i="8"/>
  <c r="T230" i="8"/>
  <c r="P282" i="8"/>
  <c r="T362" i="8"/>
  <c r="T235" i="8"/>
  <c r="Q364" i="8"/>
  <c r="R74" i="8"/>
  <c r="O340" i="8"/>
  <c r="R3" i="8"/>
  <c r="V3" i="8"/>
  <c r="Q3" i="8"/>
  <c r="T30" i="8"/>
  <c r="V30" i="8"/>
  <c r="Q30" i="8"/>
  <c r="S62" i="8"/>
  <c r="R62" i="8"/>
  <c r="N114" i="8"/>
  <c r="R114" i="8"/>
  <c r="N178" i="8"/>
  <c r="U178" i="8"/>
  <c r="P178" i="8"/>
  <c r="U242" i="8"/>
  <c r="S242" i="8"/>
  <c r="U266" i="8"/>
  <c r="T266" i="8"/>
  <c r="P266" i="8"/>
  <c r="T286" i="8"/>
  <c r="R286" i="8"/>
  <c r="T302" i="8"/>
  <c r="S302" i="8"/>
  <c r="T326" i="8"/>
  <c r="V326" i="8"/>
  <c r="P326" i="8"/>
  <c r="R346" i="8"/>
  <c r="T346" i="8"/>
  <c r="U366" i="8"/>
  <c r="V366" i="8"/>
  <c r="P366" i="8"/>
  <c r="R35" i="8"/>
  <c r="O35" i="8"/>
  <c r="U171" i="8"/>
  <c r="P171" i="8"/>
  <c r="R2" i="8"/>
  <c r="U2" i="8"/>
  <c r="S2" i="8"/>
  <c r="V54" i="8"/>
  <c r="Q54" i="8"/>
  <c r="N90" i="8"/>
  <c r="U90" i="8"/>
  <c r="Q90" i="8"/>
  <c r="R118" i="8"/>
  <c r="S118" i="8"/>
  <c r="U142" i="8"/>
  <c r="Q142" i="8"/>
  <c r="Q174" i="8"/>
  <c r="P174" i="8"/>
  <c r="T206" i="8"/>
  <c r="Q206" i="8"/>
  <c r="R246" i="8"/>
  <c r="U246" i="8"/>
  <c r="O246" i="8"/>
  <c r="T276" i="8"/>
  <c r="V276" i="8"/>
  <c r="U312" i="8"/>
  <c r="R352" i="8"/>
  <c r="R368" i="8"/>
  <c r="P275" i="8"/>
  <c r="T275" i="8"/>
  <c r="N62" i="8"/>
  <c r="N293" i="8"/>
  <c r="N325" i="8"/>
  <c r="P277" i="8"/>
  <c r="U277" i="8"/>
  <c r="P293" i="8"/>
  <c r="U293" i="8"/>
  <c r="Q309" i="8"/>
  <c r="V309" i="8"/>
  <c r="Q325" i="8"/>
  <c r="V325" i="8"/>
  <c r="N243" i="8"/>
  <c r="P79" i="8"/>
  <c r="Q243" i="8"/>
  <c r="Q339" i="8"/>
  <c r="U339" i="8"/>
  <c r="N266" i="8"/>
  <c r="N286" i="8"/>
  <c r="P30" i="8"/>
  <c r="O54" i="8"/>
  <c r="U54" i="8"/>
  <c r="V62" i="8"/>
  <c r="S90" i="8"/>
  <c r="P114" i="8"/>
  <c r="O118" i="8"/>
  <c r="U118" i="8"/>
  <c r="P142" i="8"/>
  <c r="V142" i="8"/>
  <c r="S174" i="8"/>
  <c r="R178" i="8"/>
  <c r="S206" i="8"/>
  <c r="T242" i="8"/>
  <c r="Q246" i="8"/>
  <c r="O266" i="8"/>
  <c r="P286" i="8"/>
  <c r="O302" i="8"/>
  <c r="V302" i="8"/>
  <c r="S326" i="8"/>
  <c r="P346" i="8"/>
  <c r="T366" i="8"/>
  <c r="O2" i="8"/>
  <c r="V2" i="8"/>
  <c r="N3" i="8"/>
  <c r="U3" i="8"/>
  <c r="P35" i="8"/>
  <c r="U35" i="8"/>
  <c r="S171" i="8"/>
  <c r="O280" i="8"/>
  <c r="O344" i="8"/>
  <c r="U280" i="8"/>
  <c r="U344" i="8"/>
  <c r="U360" i="8"/>
  <c r="P269" i="8"/>
  <c r="R269" i="8"/>
  <c r="O285" i="8"/>
  <c r="R285" i="8"/>
  <c r="P301" i="8"/>
  <c r="S301" i="8"/>
  <c r="P317" i="8"/>
  <c r="S317" i="8"/>
  <c r="Q333" i="8"/>
  <c r="T333" i="8"/>
  <c r="N318" i="8"/>
  <c r="N334" i="8"/>
  <c r="P14" i="8"/>
  <c r="T14" i="8"/>
  <c r="P46" i="8"/>
  <c r="T46" i="8"/>
  <c r="R82" i="8"/>
  <c r="U82" i="8"/>
  <c r="S146" i="8"/>
  <c r="P210" i="8"/>
  <c r="V210" i="8"/>
  <c r="O274" i="8"/>
  <c r="T274" i="8"/>
  <c r="S294" i="8"/>
  <c r="P318" i="8"/>
  <c r="U318" i="8"/>
  <c r="R334" i="8"/>
  <c r="V334" i="8"/>
  <c r="Q354" i="8"/>
  <c r="U354" i="8"/>
  <c r="P344" i="8"/>
  <c r="Q82" i="8"/>
  <c r="P348" i="8"/>
  <c r="O296" i="8"/>
  <c r="O360" i="8"/>
  <c r="T280" i="8"/>
  <c r="V280" i="8"/>
  <c r="T296" i="8"/>
  <c r="V296" i="8"/>
  <c r="R344" i="8"/>
  <c r="V344" i="8"/>
  <c r="U348" i="8"/>
  <c r="R360" i="8"/>
  <c r="V360" i="8"/>
  <c r="U364" i="8"/>
  <c r="N14" i="8"/>
  <c r="N46" i="8"/>
  <c r="N269" i="8"/>
  <c r="N285" i="8"/>
  <c r="N301" i="8"/>
  <c r="N317" i="8"/>
  <c r="N333" i="8"/>
  <c r="Q269" i="8"/>
  <c r="S269" i="8"/>
  <c r="P273" i="8"/>
  <c r="T273" i="8"/>
  <c r="P285" i="8"/>
  <c r="S285" i="8"/>
  <c r="Q289" i="8"/>
  <c r="T289" i="8"/>
  <c r="Q301" i="8"/>
  <c r="V301" i="8"/>
  <c r="Q305" i="8"/>
  <c r="U305" i="8"/>
  <c r="Q317" i="8"/>
  <c r="V317" i="8"/>
  <c r="V321" i="8"/>
  <c r="U321" i="8"/>
  <c r="U333" i="8"/>
  <c r="V333" i="8"/>
  <c r="R337" i="8"/>
  <c r="Q50" i="8"/>
  <c r="N210" i="8"/>
  <c r="N226" i="8"/>
  <c r="N274" i="8"/>
  <c r="N322" i="8"/>
  <c r="N338" i="8"/>
  <c r="N354" i="8"/>
  <c r="S14" i="8"/>
  <c r="V14" i="8"/>
  <c r="T18" i="8"/>
  <c r="S46" i="8"/>
  <c r="V46" i="8"/>
  <c r="T50" i="8"/>
  <c r="S82" i="8"/>
  <c r="O98" i="8"/>
  <c r="S98" i="8"/>
  <c r="O146" i="8"/>
  <c r="T146" i="8"/>
  <c r="P162" i="8"/>
  <c r="U162" i="8"/>
  <c r="Q210" i="8"/>
  <c r="U210" i="8"/>
  <c r="O226" i="8"/>
  <c r="S226" i="8"/>
  <c r="P274" i="8"/>
  <c r="V274" i="8"/>
  <c r="R282" i="8"/>
  <c r="U282" i="8"/>
  <c r="O294" i="8"/>
  <c r="T294" i="8"/>
  <c r="P298" i="8"/>
  <c r="V298" i="8"/>
  <c r="Q318" i="8"/>
  <c r="V318" i="8"/>
  <c r="Q322" i="8"/>
  <c r="U322" i="8"/>
  <c r="O334" i="8"/>
  <c r="S334" i="8"/>
  <c r="R338" i="8"/>
  <c r="S338" i="8"/>
  <c r="R354" i="8"/>
  <c r="T354" i="8"/>
  <c r="O362" i="8"/>
  <c r="S362" i="8"/>
  <c r="P280" i="8"/>
  <c r="U346" i="8"/>
  <c r="Q146" i="8"/>
  <c r="Q352" i="8"/>
  <c r="P364" i="8"/>
  <c r="O312" i="8"/>
  <c r="R280" i="8"/>
  <c r="R296" i="8"/>
  <c r="R312" i="8"/>
  <c r="S344" i="8"/>
  <c r="R348" i="8"/>
  <c r="V348" i="8"/>
  <c r="U352" i="8"/>
  <c r="S360" i="8"/>
  <c r="R364" i="8"/>
  <c r="V364" i="8"/>
  <c r="U368" i="8"/>
  <c r="Q98" i="8"/>
  <c r="N273" i="8"/>
  <c r="N289" i="8"/>
  <c r="N305" i="8"/>
  <c r="N321" i="8"/>
  <c r="N337" i="8"/>
  <c r="T269" i="8"/>
  <c r="Q273" i="8"/>
  <c r="R277" i="8"/>
  <c r="Q285" i="8"/>
  <c r="V289" i="8"/>
  <c r="R293" i="8"/>
  <c r="U301" i="8"/>
  <c r="V305" i="8"/>
  <c r="O309" i="8"/>
  <c r="U317" i="8"/>
  <c r="O321" i="8"/>
  <c r="O325" i="8"/>
  <c r="O333" i="8"/>
  <c r="O337" i="8"/>
  <c r="Q114" i="8"/>
  <c r="O352" i="8"/>
  <c r="N294" i="8"/>
  <c r="N326" i="8"/>
  <c r="Q14" i="8"/>
  <c r="O18" i="8"/>
  <c r="S18" i="8"/>
  <c r="O30" i="8"/>
  <c r="Q46" i="8"/>
  <c r="O50" i="8"/>
  <c r="S50" i="8"/>
  <c r="O62" i="8"/>
  <c r="U62" i="8"/>
  <c r="O82" i="8"/>
  <c r="T82" i="8"/>
  <c r="P98" i="8"/>
  <c r="U98" i="8"/>
  <c r="O114" i="8"/>
  <c r="T114" i="8"/>
  <c r="P146" i="8"/>
  <c r="V146" i="8"/>
  <c r="R162" i="8"/>
  <c r="V162" i="8"/>
  <c r="O178" i="8"/>
  <c r="T178" i="8"/>
  <c r="R210" i="8"/>
  <c r="P226" i="8"/>
  <c r="Q242" i="8"/>
  <c r="R266" i="8"/>
  <c r="Q274" i="8"/>
  <c r="O282" i="8"/>
  <c r="O286" i="8"/>
  <c r="P294" i="8"/>
  <c r="Q298" i="8"/>
  <c r="Q302" i="8"/>
  <c r="R318" i="8"/>
  <c r="R322" i="8"/>
  <c r="O326" i="8"/>
  <c r="P334" i="8"/>
  <c r="O338" i="8"/>
  <c r="O354" i="8"/>
  <c r="P362" i="8"/>
  <c r="Q366" i="8"/>
  <c r="O3" i="8"/>
  <c r="P360" i="8"/>
  <c r="P296" i="8"/>
  <c r="Q348" i="8"/>
  <c r="V265" i="8"/>
  <c r="S265" i="8"/>
  <c r="R265" i="8"/>
  <c r="T265" i="8"/>
  <c r="Q265" i="8"/>
  <c r="P265" i="8"/>
  <c r="O265" i="8"/>
  <c r="N265" i="8"/>
  <c r="U265" i="8"/>
  <c r="V3" i="3"/>
  <c r="V2" i="3"/>
  <c r="V4" i="3"/>
  <c r="N2" i="3"/>
  <c r="N4" i="3"/>
  <c r="S3" i="3"/>
  <c r="U3" i="3"/>
  <c r="Q3" i="3"/>
  <c r="T3" i="3"/>
  <c r="P3" i="3"/>
  <c r="O3" i="3"/>
  <c r="S4" i="3"/>
  <c r="U4" i="3"/>
  <c r="Q4" i="3"/>
  <c r="T4" i="3"/>
  <c r="P4" i="3"/>
  <c r="S2" i="3"/>
  <c r="U2" i="3"/>
  <c r="Q2" i="3"/>
  <c r="T2" i="3"/>
  <c r="P2" i="3"/>
  <c r="R4" i="3"/>
  <c r="R3" i="3"/>
  <c r="R2" i="3"/>
  <c r="R372" i="3"/>
  <c r="U372" i="3"/>
  <c r="V372" i="3"/>
  <c r="T372" i="3"/>
  <c r="O372" i="3"/>
  <c r="Q372" i="3"/>
  <c r="P372" i="3"/>
  <c r="N372" i="3"/>
  <c r="O373" i="3"/>
  <c r="N373" i="3"/>
  <c r="Q373" i="3"/>
  <c r="V371" i="3"/>
  <c r="R371" i="3"/>
  <c r="N371" i="3"/>
  <c r="R373" i="3"/>
  <c r="U371" i="3"/>
  <c r="S371" i="3"/>
  <c r="T371" i="3"/>
  <c r="P371" i="3"/>
  <c r="O371" i="3"/>
  <c r="Q371" i="3"/>
  <c r="T373" i="3"/>
  <c r="S373" i="3"/>
  <c r="U373" i="3"/>
  <c r="P373" i="3"/>
  <c r="W180" i="8" l="1"/>
  <c r="W132" i="8"/>
  <c r="W164" i="8"/>
  <c r="W260" i="8"/>
  <c r="W36" i="8"/>
  <c r="W244" i="8"/>
  <c r="W20" i="8"/>
  <c r="W212" i="8"/>
  <c r="W228" i="8"/>
  <c r="W116" i="8"/>
  <c r="W84" i="8"/>
  <c r="W148" i="8"/>
  <c r="W68" i="8"/>
  <c r="W4" i="8"/>
  <c r="W192" i="8"/>
  <c r="W144" i="8"/>
  <c r="W208" i="8"/>
  <c r="W128" i="8"/>
  <c r="W48" i="8"/>
  <c r="W16" i="8"/>
  <c r="W176" i="8"/>
  <c r="W80" i="8"/>
  <c r="W196" i="8"/>
  <c r="W100" i="8"/>
  <c r="W64" i="8"/>
  <c r="W52" i="8"/>
  <c r="W224" i="8"/>
  <c r="W112" i="8"/>
  <c r="W240" i="8"/>
  <c r="W256" i="8"/>
  <c r="W7" i="8"/>
  <c r="W259" i="8"/>
  <c r="W104" i="8"/>
  <c r="W160" i="8"/>
  <c r="W12" i="8"/>
  <c r="W96" i="8"/>
  <c r="W32" i="8"/>
  <c r="W150" i="8"/>
  <c r="W99" i="8"/>
  <c r="W199" i="8"/>
  <c r="W216" i="8"/>
  <c r="W5" i="8"/>
  <c r="W232" i="8"/>
  <c r="W28" i="8"/>
  <c r="W188" i="8"/>
  <c r="W72" i="8"/>
  <c r="W251" i="8"/>
  <c r="W220" i="8"/>
  <c r="W227" i="8"/>
  <c r="W158" i="8"/>
  <c r="W151" i="8"/>
  <c r="W213" i="8"/>
  <c r="W117" i="8"/>
  <c r="W69" i="8"/>
  <c r="W245" i="8"/>
  <c r="W47" i="8"/>
  <c r="W21" i="8"/>
  <c r="W43" i="8"/>
  <c r="W229" i="8"/>
  <c r="W53" i="8"/>
  <c r="W149" i="8"/>
  <c r="W211" i="8"/>
  <c r="W131" i="8"/>
  <c r="W111" i="8"/>
  <c r="W60" i="8"/>
  <c r="W204" i="8"/>
  <c r="W172" i="8"/>
  <c r="W108" i="8"/>
  <c r="W76" i="8"/>
  <c r="W44" i="8"/>
  <c r="W139" i="8"/>
  <c r="W55" i="8"/>
  <c r="W124" i="8"/>
  <c r="W252" i="8"/>
  <c r="W236" i="8"/>
  <c r="W156" i="8"/>
  <c r="W140" i="8"/>
  <c r="W92" i="8"/>
  <c r="W239" i="8"/>
  <c r="W219" i="8"/>
  <c r="W183" i="8"/>
  <c r="W159" i="8"/>
  <c r="W123" i="8"/>
  <c r="W83" i="8"/>
  <c r="W27" i="8"/>
  <c r="W152" i="8"/>
  <c r="W248" i="8"/>
  <c r="W200" i="8"/>
  <c r="W184" i="8"/>
  <c r="W168" i="8"/>
  <c r="W136" i="8"/>
  <c r="W120" i="8"/>
  <c r="W88" i="8"/>
  <c r="W56" i="8"/>
  <c r="W40" i="8"/>
  <c r="W24" i="8"/>
  <c r="W8" i="8"/>
  <c r="W215" i="8"/>
  <c r="W119" i="8"/>
  <c r="W23" i="8"/>
  <c r="W155" i="8"/>
  <c r="W263" i="8"/>
  <c r="W191" i="8"/>
  <c r="W262" i="8"/>
  <c r="W255" i="8"/>
  <c r="W175" i="8"/>
  <c r="W135" i="8"/>
  <c r="W95" i="8"/>
  <c r="W85" i="8"/>
  <c r="W37" i="8"/>
  <c r="W181" i="8"/>
  <c r="W292" i="8"/>
  <c r="W195" i="8"/>
  <c r="W165" i="8"/>
  <c r="W133" i="8"/>
  <c r="W320" i="8"/>
  <c r="W231" i="8"/>
  <c r="W75" i="8"/>
  <c r="W101" i="8"/>
  <c r="W167" i="8"/>
  <c r="W91" i="8"/>
  <c r="W71" i="8"/>
  <c r="W15" i="8"/>
  <c r="W261" i="8"/>
  <c r="W197" i="8"/>
  <c r="W163" i="8"/>
  <c r="W147" i="8"/>
  <c r="W59" i="8"/>
  <c r="W189" i="8"/>
  <c r="W97" i="8"/>
  <c r="W105" i="8"/>
  <c r="W25" i="8"/>
  <c r="W223" i="8"/>
  <c r="W127" i="8"/>
  <c r="W103" i="8"/>
  <c r="W39" i="8"/>
  <c r="W247" i="8"/>
  <c r="W11" i="8"/>
  <c r="W203" i="8"/>
  <c r="W87" i="8"/>
  <c r="W267" i="8"/>
  <c r="W250" i="8"/>
  <c r="W225" i="8"/>
  <c r="W187" i="8"/>
  <c r="W201" i="8"/>
  <c r="W284" i="8"/>
  <c r="W125" i="8"/>
  <c r="W237" i="8"/>
  <c r="W222" i="8"/>
  <c r="W42" i="8"/>
  <c r="W221" i="8"/>
  <c r="W205" i="8"/>
  <c r="W157" i="8"/>
  <c r="W29" i="8"/>
  <c r="W177" i="8"/>
  <c r="W161" i="8"/>
  <c r="W65" i="8"/>
  <c r="W49" i="8"/>
  <c r="W86" i="8"/>
  <c r="W78" i="8"/>
  <c r="W89" i="8"/>
  <c r="W249" i="8"/>
  <c r="W121" i="8"/>
  <c r="W57" i="8"/>
  <c r="W41" i="8"/>
  <c r="W10" i="8"/>
  <c r="W272" i="8"/>
  <c r="W173" i="8"/>
  <c r="W109" i="8"/>
  <c r="W61" i="8"/>
  <c r="W94" i="8"/>
  <c r="W241" i="8"/>
  <c r="W17" i="8"/>
  <c r="W9" i="8"/>
  <c r="W137" i="8"/>
  <c r="W233" i="8"/>
  <c r="W73" i="8"/>
  <c r="W361" i="8"/>
  <c r="W357" i="8"/>
  <c r="W169" i="8"/>
  <c r="W253" i="8"/>
  <c r="W214" i="8"/>
  <c r="W257" i="8"/>
  <c r="W33" i="8"/>
  <c r="W287" i="8"/>
  <c r="W186" i="8"/>
  <c r="W153" i="8"/>
  <c r="W198" i="8"/>
  <c r="W77" i="8"/>
  <c r="W13" i="8"/>
  <c r="W193" i="8"/>
  <c r="W129" i="8"/>
  <c r="W113" i="8"/>
  <c r="W122" i="8"/>
  <c r="W264" i="8"/>
  <c r="W217" i="8"/>
  <c r="W185" i="8"/>
  <c r="W141" i="8"/>
  <c r="W93" i="8"/>
  <c r="W45" i="8"/>
  <c r="W81" i="8"/>
  <c r="W209" i="8"/>
  <c r="W145" i="8"/>
  <c r="W234" i="8"/>
  <c r="W310" i="8"/>
  <c r="W271" i="8"/>
  <c r="W373" i="8"/>
  <c r="W283" i="8"/>
  <c r="W288" i="8"/>
  <c r="W316" i="8"/>
  <c r="W324" i="8"/>
  <c r="W336" i="8"/>
  <c r="W300" i="8"/>
  <c r="W359" i="8"/>
  <c r="W308" i="8"/>
  <c r="W319" i="8"/>
  <c r="W142" i="8"/>
  <c r="W207" i="8"/>
  <c r="W313" i="8"/>
  <c r="W306" i="8"/>
  <c r="W371" i="8"/>
  <c r="W335" i="8"/>
  <c r="W331" i="8"/>
  <c r="W126" i="8"/>
  <c r="W363" i="8"/>
  <c r="W345" i="8"/>
  <c r="W327" i="8"/>
  <c r="W79" i="8"/>
  <c r="W315" i="8"/>
  <c r="W341" i="8"/>
  <c r="W355" i="8"/>
  <c r="W351" i="8"/>
  <c r="W171" i="8"/>
  <c r="W311" i="8"/>
  <c r="W297" i="8"/>
  <c r="W299" i="8"/>
  <c r="W242" i="8"/>
  <c r="W368" i="8"/>
  <c r="W322" i="8"/>
  <c r="W277" i="8"/>
  <c r="W266" i="8"/>
  <c r="W202" i="8"/>
  <c r="W38" i="8"/>
  <c r="W166" i="8"/>
  <c r="W349" i="8"/>
  <c r="W66" i="8"/>
  <c r="W353" i="8"/>
  <c r="W303" i="8"/>
  <c r="W370" i="8"/>
  <c r="W22" i="8"/>
  <c r="W367" i="8"/>
  <c r="W58" i="8"/>
  <c r="W51" i="8"/>
  <c r="W130" i="8"/>
  <c r="W347" i="8"/>
  <c r="W295" i="8"/>
  <c r="W218" i="8"/>
  <c r="W270" i="8"/>
  <c r="W34" i="8"/>
  <c r="W312" i="8"/>
  <c r="W346" i="8"/>
  <c r="W309" i="8"/>
  <c r="W246" i="8"/>
  <c r="W170" i="8"/>
  <c r="W138" i="8"/>
  <c r="W106" i="8"/>
  <c r="W6" i="8"/>
  <c r="W329" i="8"/>
  <c r="W365" i="8"/>
  <c r="W179" i="8"/>
  <c r="W328" i="8"/>
  <c r="W304" i="8"/>
  <c r="W290" i="8"/>
  <c r="W258" i="8"/>
  <c r="W369" i="8"/>
  <c r="W279" i="8"/>
  <c r="W182" i="8"/>
  <c r="W102" i="8"/>
  <c r="W254" i="8"/>
  <c r="W107" i="8"/>
  <c r="W281" i="8"/>
  <c r="W356" i="8"/>
  <c r="W350" i="8"/>
  <c r="W343" i="8"/>
  <c r="W154" i="8"/>
  <c r="W278" i="8"/>
  <c r="W291" i="8"/>
  <c r="W330" i="8"/>
  <c r="W372" i="8"/>
  <c r="W194" i="8"/>
  <c r="W348" i="8"/>
  <c r="W366" i="8"/>
  <c r="W334" i="8"/>
  <c r="W302" i="8"/>
  <c r="W282" i="8"/>
  <c r="W114" i="8"/>
  <c r="W18" i="8"/>
  <c r="W294" i="8"/>
  <c r="W333" i="8"/>
  <c r="W289" i="8"/>
  <c r="W14" i="8"/>
  <c r="W274" i="8"/>
  <c r="W321" i="8"/>
  <c r="W305" i="8"/>
  <c r="W317" i="8"/>
  <c r="W46" i="8"/>
  <c r="W344" i="8"/>
  <c r="W146" i="8"/>
  <c r="W318" i="8"/>
  <c r="W285" i="8"/>
  <c r="W3" i="8"/>
  <c r="W90" i="8"/>
  <c r="W30" i="8"/>
  <c r="W339" i="8"/>
  <c r="W293" i="8"/>
  <c r="W275" i="8"/>
  <c r="W174" i="8"/>
  <c r="W118" i="8"/>
  <c r="W54" i="8"/>
  <c r="W2" i="8"/>
  <c r="W35" i="8"/>
  <c r="W178" i="8"/>
  <c r="W235" i="8"/>
  <c r="W230" i="8"/>
  <c r="W110" i="8"/>
  <c r="W323" i="8"/>
  <c r="W340" i="8"/>
  <c r="W238" i="8"/>
  <c r="W358" i="8"/>
  <c r="W268" i="8"/>
  <c r="W143" i="8"/>
  <c r="W67" i="8"/>
  <c r="W362" i="8"/>
  <c r="W337" i="8"/>
  <c r="W307" i="8"/>
  <c r="W190" i="8"/>
  <c r="W134" i="8"/>
  <c r="W70" i="8"/>
  <c r="W332" i="8"/>
  <c r="W342" i="8"/>
  <c r="W63" i="8"/>
  <c r="W19" i="8"/>
  <c r="W298" i="8"/>
  <c r="W354" i="8"/>
  <c r="W301" i="8"/>
  <c r="W286" i="8"/>
  <c r="W243" i="8"/>
  <c r="W276" i="8"/>
  <c r="W206" i="8"/>
  <c r="W364" i="8"/>
  <c r="W74" i="8"/>
  <c r="W31" i="8"/>
  <c r="W26" i="8"/>
  <c r="W314" i="8"/>
  <c r="W115" i="8"/>
  <c r="W326" i="8"/>
  <c r="W82" i="8"/>
  <c r="W325" i="8"/>
  <c r="W273" i="8"/>
  <c r="W98" i="8"/>
  <c r="W226" i="8"/>
  <c r="W296" i="8"/>
  <c r="W62" i="8"/>
  <c r="W338" i="8"/>
  <c r="W210" i="8"/>
  <c r="W269" i="8"/>
  <c r="W360" i="8"/>
  <c r="W50" i="8"/>
  <c r="W352" i="8"/>
  <c r="W280" i="8"/>
  <c r="W162" i="8"/>
  <c r="W265" i="8"/>
  <c r="W2" i="3"/>
  <c r="W3" i="3"/>
  <c r="W4" i="3"/>
  <c r="W371" i="3"/>
  <c r="W372" i="3"/>
  <c r="W373" i="3"/>
</calcChain>
</file>

<file path=xl/sharedStrings.xml><?xml version="1.0" encoding="utf-8"?>
<sst xmlns="http://schemas.openxmlformats.org/spreadsheetml/2006/main" count="2072" uniqueCount="115">
  <si>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</si>
  <si>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</si>
  <si>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</si>
  <si>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</si>
  <si>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</si>
  <si>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</si>
  <si>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</si>
  <si>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</si>
  <si>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</si>
  <si>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</si>
  <si>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</si>
  <si>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</si>
  <si>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</si>
  <si>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</si>
  <si>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</si>
  <si>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</si>
  <si>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</si>
  <si>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</si>
  <si>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</si>
  <si>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</si>
  <si>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</si>
  <si>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</si>
  <si>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</si>
  <si>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</si>
  <si>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</si>
  <si>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</si>
  <si>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</si>
  <si>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</si>
  <si>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</si>
  <si>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</si>
  <si>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</si>
  <si>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</si>
  <si>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</si>
  <si>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</si>
  <si>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</si>
  <si>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</si>
  <si>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</si>
  <si>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</si>
  <si>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</si>
  <si>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</si>
  <si>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</si>
  <si>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</si>
  <si>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</si>
  <si>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</si>
  <si>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</si>
  <si>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</si>
  <si>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</si>
  <si>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</si>
  <si>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FOOD</t>
  </si>
  <si>
    <t>MEAT FISH AND EGG</t>
  </si>
  <si>
    <t>WEARABLE</t>
  </si>
  <si>
    <t>HOUSING</t>
  </si>
  <si>
    <t>OTHERS</t>
  </si>
  <si>
    <t>TOTAL</t>
  </si>
  <si>
    <t>%</t>
  </si>
  <si>
    <t>Y-O-Y</t>
  </si>
  <si>
    <t>Row Labels</t>
  </si>
  <si>
    <t>Grand Total</t>
  </si>
  <si>
    <t>Average of Y-O-Y</t>
  </si>
  <si>
    <t>HIGHEST</t>
  </si>
  <si>
    <t>LOWEST</t>
  </si>
  <si>
    <t>COVID_PHASE</t>
  </si>
  <si>
    <t>FOOD INFLATION</t>
  </si>
  <si>
    <t>HEALTH INFLATION</t>
  </si>
  <si>
    <t>TOTAL INFLATION</t>
  </si>
  <si>
    <t>FOOD AVERAGE PRE-COVID</t>
  </si>
  <si>
    <t>HEALTH AVERAGE PRE-COVID</t>
  </si>
  <si>
    <t>HEALTH AVERAGE POST-COVID</t>
  </si>
  <si>
    <t>TOTAL AVERAGE PRE-COVID</t>
  </si>
  <si>
    <t>TOTAL AVERAGE POST-COVID</t>
  </si>
  <si>
    <t>FOOD AVERAGE POST- COVID</t>
  </si>
  <si>
    <t>DATE</t>
  </si>
  <si>
    <t>MEAT FISH AND EGG INFLATION</t>
  </si>
  <si>
    <t>PAN,TOBACCO AND INTOXICANTS</t>
  </si>
  <si>
    <t>TRANSPORT INFLATION</t>
  </si>
  <si>
    <t>OTHER INFLATION</t>
  </si>
  <si>
    <t>HOUSING INFLATION</t>
  </si>
  <si>
    <t>WEARABLE INFLATION</t>
  </si>
  <si>
    <t>CORRELATION BETWEEN OIL AND FOOD</t>
  </si>
  <si>
    <t>CORRELATION BETWEEN OIL AND PAN TOBACCO AND INTOXICANT</t>
  </si>
  <si>
    <t>CORRELATION BETWEEN OIL AND WEARABLE</t>
  </si>
  <si>
    <t>CORRELATION BETWEEN OIL AND HOUSING</t>
  </si>
  <si>
    <t>CORRELATION BETWEEN OIL AND HEALTH</t>
  </si>
  <si>
    <t xml:space="preserve">CORRELATION BETWEEN OIL AND TRANSPORT </t>
  </si>
  <si>
    <t>CORRELATION BETWEEN OIL AND OTHERS</t>
  </si>
  <si>
    <t xml:space="preserve">Research indicates that 2021 saw the start of a major inflation surge driven by a unique combination of explosive consumer demand, severe </t>
  </si>
  <si>
    <t xml:space="preserve">global supply chain bottlenecks and massive fiscal stimulus following the covid-19 pandemic </t>
  </si>
  <si>
    <t>Supply chain Bottleneck : The pandemic caused severe supply disruptions, leading to shortages in critical components like semiconductors.</t>
  </si>
  <si>
    <t>Rising Input Costs : Significant increases in food ,fuel, and raw material prices increased overall producer costs.</t>
  </si>
  <si>
    <t>Surge in Demand for Goods : As economies reopened in 2021 ,consumer preferences shifted heavily toward goods over services , overwhelming global production and transportation networks.</t>
  </si>
  <si>
    <t>PAN TOBACCO AND INTOXICANTS</t>
  </si>
  <si>
    <t>FUEL AND LIGHT</t>
  </si>
  <si>
    <t>HEALTH</t>
  </si>
  <si>
    <t>TRANSPORT AND COMMUNICATION</t>
  </si>
  <si>
    <t>OTHER</t>
  </si>
  <si>
    <t>M-O-M</t>
  </si>
  <si>
    <t>PAN TOBACCO AND INTOXICANTS INFLATION</t>
  </si>
  <si>
    <t>FUEL AND LIGHT INFLATION</t>
  </si>
  <si>
    <t>OTHERS INFLATION</t>
  </si>
  <si>
    <t>CEREAL INFLATION</t>
  </si>
  <si>
    <t>SUM</t>
  </si>
  <si>
    <t>ABSOLUTE CHANGE IN INFLATION</t>
  </si>
  <si>
    <t>YEAR</t>
  </si>
  <si>
    <t>MONTH</t>
  </si>
  <si>
    <t xml:space="preserve">Cereals and products </t>
  </si>
  <si>
    <t>Meat and Fish</t>
  </si>
  <si>
    <t>Milk and Pulses</t>
  </si>
  <si>
    <t>Oil and Fats</t>
  </si>
  <si>
    <t>Pulses and Products</t>
  </si>
  <si>
    <t>Sugar and confectionary</t>
  </si>
  <si>
    <t xml:space="preserve">Non-alcoholic beverages </t>
  </si>
  <si>
    <t>Prepared meals,snacks,sweets etc</t>
  </si>
  <si>
    <t xml:space="preserve"> PAN TOBACCO AND INTOXICANTS INFLARTION</t>
  </si>
  <si>
    <t>FUEL AND LIGHT  INFLATION</t>
  </si>
  <si>
    <r>
      <rPr>
        <b/>
        <sz val="11"/>
        <color theme="1"/>
        <rFont val="Calibri"/>
        <family val="2"/>
        <scheme val="minor"/>
      </rPr>
      <t>Food has the highest contribution towards CPI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</si>
</sst>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6" fillId="0" borderId="0" xfId="0" applyFont="1"/>
    <xf numFmtId="10" fontId="0" fillId="0" borderId="0" xfId="42" applyNumberFormat="1" applyFont="1"/>
    <xf numFmtId="10" fontId="0" fillId="0" borderId="0" xfId="0" applyNumberForma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[India_CPI_Inflation_Analysis.xlsx]QUESTION 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'QUESTION 2'!$H$2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'QUESTION 2'!$G$3:$G$10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'QUESTION 2'!$H$3:$H$10</c:f>
              <c:numCache>
                <c:formatCode>General</c:formatCode>
                <c:ptCount val="7"/>
                <c:pt idx="1">
                  <c:v>3.3501310294004916</c:v>
                </c:pt>
                <c:pt idx="2">
                  <c:v>3.7139211880518515</c:v>
                </c:pt>
                <c:pt idx="3">
                  <c:v>6.370593997568271</c:v>
                </c:pt>
                <c:pt idx="4">
                  <c:v>6.8369696448191197</c:v>
                </c:pt>
                <c:pt idx="5">
                  <c:v>6.3930599323816262</c:v>
                </c:pt>
                <c:pt idx="6">
                  <c:v>5.3890406714842296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9-4166-9B12-141B14592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19072"/>
        <c:axId val="877718320"/>
      </c:lineChart>
      <c:catAx>
        <c:axId val="97061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18320"/>
        <c:crosses val="autoZero"/>
        <c:auto val="1"/>
        <c:lblAlgn val="ctr"/>
        <c:lblOffset val="100"/>
        <c:noMultiLvlLbl val="0"/>
      </c:catAx>
      <c:valAx>
        <c:axId val="8777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1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Health and Total inflation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4'!$I$1</c:f>
              <c:strCache>
                <c:ptCount val="1"/>
                <c:pt idx="0">
                  <c:v>FOOD 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'QUESTION 4'!$G$2:$G$1048360</c:f>
              <c:numCache>
                <c:formatCode>m/d/yyyy</c:formatCode>
                <c:ptCount val="104835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43586</c:v>
                </c:pt>
                <c:pt idx="4">
                  <c:v>43617</c:v>
                </c:pt>
                <c:pt idx="5">
                  <c:v>43647</c:v>
                </c:pt>
                <c:pt idx="6">
                  <c:v>43678</c:v>
                </c:pt>
                <c:pt idx="7">
                  <c:v>43709</c:v>
                </c:pt>
                <c:pt idx="8">
                  <c:v>43739</c:v>
                </c:pt>
                <c:pt idx="9">
                  <c:v>43770</c:v>
                </c:pt>
                <c:pt idx="10">
                  <c:v>43800</c:v>
                </c:pt>
                <c:pt idx="11">
                  <c:v>43831</c:v>
                </c:pt>
                <c:pt idx="12">
                  <c:v>43862</c:v>
                </c:pt>
                <c:pt idx="13">
                  <c:v>43891</c:v>
                </c:pt>
                <c:pt idx="14">
                  <c:v>43922</c:v>
                </c:pt>
                <c:pt idx="15">
                  <c:v>43952</c:v>
                </c:pt>
                <c:pt idx="16">
                  <c:v>43983</c:v>
                </c:pt>
                <c:pt idx="17">
                  <c:v>44013</c:v>
                </c:pt>
                <c:pt idx="18">
                  <c:v>44044</c:v>
                </c:pt>
                <c:pt idx="19">
                  <c:v>44075</c:v>
                </c:pt>
                <c:pt idx="20">
                  <c:v>44105</c:v>
                </c:pt>
                <c:pt idx="21">
                  <c:v>44136</c:v>
                </c:pt>
                <c:pt idx="22">
                  <c:v>44166</c:v>
                </c:pt>
                <c:pt idx="23">
                  <c:v>44197</c:v>
                </c:pt>
                <c:pt idx="24">
                  <c:v>44228</c:v>
                </c:pt>
                <c:pt idx="25">
                  <c:v>44256</c:v>
                </c:pt>
                <c:pt idx="26">
                  <c:v>44287</c:v>
                </c:pt>
                <c:pt idx="27">
                  <c:v>44317</c:v>
                </c:pt>
                <c:pt idx="28">
                  <c:v>44348</c:v>
                </c:pt>
                <c:pt idx="29">
                  <c:v>44378</c:v>
                </c:pt>
                <c:pt idx="30">
                  <c:v>44409</c:v>
                </c:pt>
                <c:pt idx="31">
                  <c:v>44440</c:v>
                </c:pt>
                <c:pt idx="32">
                  <c:v>44470</c:v>
                </c:pt>
                <c:pt idx="33">
                  <c:v>44501</c:v>
                </c:pt>
                <c:pt idx="34">
                  <c:v>44531</c:v>
                </c:pt>
              </c:numCache>
            </c:numRef>
          </c:cat>
          <c:val>
            <c:numRef>
              <c:f>'QUESTION 4'!$I$2:$I$1048360</c:f>
              <c:numCache>
                <c:formatCode>General</c:formatCode>
                <c:ptCount val="1048359"/>
                <c:pt idx="11">
                  <c:v>10.692297167875219</c:v>
                </c:pt>
                <c:pt idx="12">
                  <c:v>8.7933861710849985</c:v>
                </c:pt>
                <c:pt idx="13">
                  <c:v>7.5326619488296167</c:v>
                </c:pt>
                <c:pt idx="14">
                  <c:v>9.0623747829571126</c:v>
                </c:pt>
                <c:pt idx="15">
                  <c:v>5.9078501298815675</c:v>
                </c:pt>
                <c:pt idx="16">
                  <c:v>5.727130570758395</c:v>
                </c:pt>
                <c:pt idx="17">
                  <c:v>4.8662272198526679</c:v>
                </c:pt>
                <c:pt idx="18">
                  <c:v>6.1773582482501652</c:v>
                </c:pt>
                <c:pt idx="19">
                  <c:v>5.3982300884955956</c:v>
                </c:pt>
                <c:pt idx="20">
                  <c:v>6.0046189376443442</c:v>
                </c:pt>
                <c:pt idx="21">
                  <c:v>6.1963190184049086</c:v>
                </c:pt>
                <c:pt idx="22">
                  <c:v>7.7065694332859707</c:v>
                </c:pt>
                <c:pt idx="23">
                  <c:v>7.460905608239651</c:v>
                </c:pt>
                <c:pt idx="24">
                  <c:v>6.5683730937163958</c:v>
                </c:pt>
                <c:pt idx="25">
                  <c:v>3.080031841283446</c:v>
                </c:pt>
                <c:pt idx="26">
                  <c:v>6.1012644019812994</c:v>
                </c:pt>
                <c:pt idx="27">
                  <c:v>6.9144019227213933</c:v>
                </c:pt>
                <c:pt idx="28">
                  <c:v>7.9189005977691362</c:v>
                </c:pt>
                <c:pt idx="29">
                  <c:v>6.3199274266707128</c:v>
                </c:pt>
                <c:pt idx="30">
                  <c:v>5.865419215545157</c:v>
                </c:pt>
                <c:pt idx="31">
                  <c:v>3.9392333509980482</c:v>
                </c:pt>
                <c:pt idx="32">
                  <c:v>3.9688041594454231</c:v>
                </c:pt>
                <c:pt idx="33">
                  <c:v>4.4009639660316626</c:v>
                </c:pt>
                <c:pt idx="34">
                  <c:v>5.4409444217170453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2-4F82-8301-0D2745DB50E3}"/>
            </c:ext>
          </c:extLst>
        </c:ser>
        <c:ser>
          <c:idx val="1"/>
          <c:order val="1"/>
          <c:tx>
            <c:strRef>
              <c:f>'QUESTION 4'!$J$1</c:f>
              <c:strCache>
                <c:ptCount val="1"/>
                <c:pt idx="0">
                  <c:v>HEALTH 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'QUESTION 4'!$G$2:$G$1048360</c:f>
              <c:numCache>
                <c:formatCode>m/d/yyyy</c:formatCode>
                <c:ptCount val="104835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43586</c:v>
                </c:pt>
                <c:pt idx="4">
                  <c:v>43617</c:v>
                </c:pt>
                <c:pt idx="5">
                  <c:v>43647</c:v>
                </c:pt>
                <c:pt idx="6">
                  <c:v>43678</c:v>
                </c:pt>
                <c:pt idx="7">
                  <c:v>43709</c:v>
                </c:pt>
                <c:pt idx="8">
                  <c:v>43739</c:v>
                </c:pt>
                <c:pt idx="9">
                  <c:v>43770</c:v>
                </c:pt>
                <c:pt idx="10">
                  <c:v>43800</c:v>
                </c:pt>
                <c:pt idx="11">
                  <c:v>43831</c:v>
                </c:pt>
                <c:pt idx="12">
                  <c:v>43862</c:v>
                </c:pt>
                <c:pt idx="13">
                  <c:v>43891</c:v>
                </c:pt>
                <c:pt idx="14">
                  <c:v>43922</c:v>
                </c:pt>
                <c:pt idx="15">
                  <c:v>43952</c:v>
                </c:pt>
                <c:pt idx="16">
                  <c:v>43983</c:v>
                </c:pt>
                <c:pt idx="17">
                  <c:v>44013</c:v>
                </c:pt>
                <c:pt idx="18">
                  <c:v>44044</c:v>
                </c:pt>
                <c:pt idx="19">
                  <c:v>44075</c:v>
                </c:pt>
                <c:pt idx="20">
                  <c:v>44105</c:v>
                </c:pt>
                <c:pt idx="21">
                  <c:v>44136</c:v>
                </c:pt>
                <c:pt idx="22">
                  <c:v>44166</c:v>
                </c:pt>
                <c:pt idx="23">
                  <c:v>44197</c:v>
                </c:pt>
                <c:pt idx="24">
                  <c:v>44228</c:v>
                </c:pt>
                <c:pt idx="25">
                  <c:v>44256</c:v>
                </c:pt>
                <c:pt idx="26">
                  <c:v>44287</c:v>
                </c:pt>
                <c:pt idx="27">
                  <c:v>44317</c:v>
                </c:pt>
                <c:pt idx="28">
                  <c:v>44348</c:v>
                </c:pt>
                <c:pt idx="29">
                  <c:v>44378</c:v>
                </c:pt>
                <c:pt idx="30">
                  <c:v>44409</c:v>
                </c:pt>
                <c:pt idx="31">
                  <c:v>44440</c:v>
                </c:pt>
                <c:pt idx="32">
                  <c:v>44470</c:v>
                </c:pt>
                <c:pt idx="33">
                  <c:v>44501</c:v>
                </c:pt>
                <c:pt idx="34">
                  <c:v>44531</c:v>
                </c:pt>
              </c:numCache>
            </c:numRef>
          </c:cat>
          <c:val>
            <c:numRef>
              <c:f>'QUESTION 4'!$J$2:$J$1048360</c:f>
              <c:numCache>
                <c:formatCode>General</c:formatCode>
                <c:ptCount val="1048359"/>
                <c:pt idx="11">
                  <c:v>4.2039972432804928</c:v>
                </c:pt>
                <c:pt idx="12">
                  <c:v>4.1895604395604362</c:v>
                </c:pt>
                <c:pt idx="13">
                  <c:v>4.1723666210670469</c:v>
                </c:pt>
                <c:pt idx="14">
                  <c:v>2.5867937372362033</c:v>
                </c:pt>
                <c:pt idx="15">
                  <c:v>2.238805970149242</c:v>
                </c:pt>
                <c:pt idx="16">
                  <c:v>4.3948613928329952</c:v>
                </c:pt>
                <c:pt idx="17">
                  <c:v>3.9730639730639767</c:v>
                </c:pt>
                <c:pt idx="18">
                  <c:v>4.0268456375838921</c:v>
                </c:pt>
                <c:pt idx="19">
                  <c:v>4.1499330655957083</c:v>
                </c:pt>
                <c:pt idx="20">
                  <c:v>4.269513008672452</c:v>
                </c:pt>
                <c:pt idx="21">
                  <c:v>4.521276595744669</c:v>
                </c:pt>
                <c:pt idx="22">
                  <c:v>4.6957671957672114</c:v>
                </c:pt>
                <c:pt idx="23">
                  <c:v>5.0098879367172202</c:v>
                </c:pt>
                <c:pt idx="24">
                  <c:v>5.9093893630991463</c:v>
                </c:pt>
                <c:pt idx="25">
                  <c:v>7.2992700729927016</c:v>
                </c:pt>
                <c:pt idx="26">
                  <c:v>7.6974120769741363</c:v>
                </c:pt>
                <c:pt idx="27">
                  <c:v>7.383419689119175</c:v>
                </c:pt>
                <c:pt idx="28">
                  <c:v>7.7072538860103661</c:v>
                </c:pt>
                <c:pt idx="29">
                  <c:v>7.741935483870968</c:v>
                </c:pt>
                <c:pt idx="30">
                  <c:v>8.2262210796915252</c:v>
                </c:pt>
                <c:pt idx="31">
                  <c:v>7.7415227127319213</c:v>
                </c:pt>
                <c:pt idx="32">
                  <c:v>7.5699745547073833</c:v>
                </c:pt>
                <c:pt idx="33">
                  <c:v>7.3278584965255797</c:v>
                </c:pt>
                <c:pt idx="34">
                  <c:v>7.0935342121782696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2-4F82-8301-0D2745DB50E3}"/>
            </c:ext>
          </c:extLst>
        </c:ser>
        <c:ser>
          <c:idx val="2"/>
          <c:order val="2"/>
          <c:tx>
            <c:strRef>
              <c:f>'QUESTION 4'!$K$1</c:f>
              <c:strCache>
                <c:ptCount val="1"/>
                <c:pt idx="0">
                  <c:v>TOTAL INFLATION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'QUESTION 4'!$G$2:$G$1048360</c:f>
              <c:numCache>
                <c:formatCode>m/d/yyyy</c:formatCode>
                <c:ptCount val="104835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43586</c:v>
                </c:pt>
                <c:pt idx="4">
                  <c:v>43617</c:v>
                </c:pt>
                <c:pt idx="5">
                  <c:v>43647</c:v>
                </c:pt>
                <c:pt idx="6">
                  <c:v>43678</c:v>
                </c:pt>
                <c:pt idx="7">
                  <c:v>43709</c:v>
                </c:pt>
                <c:pt idx="8">
                  <c:v>43739</c:v>
                </c:pt>
                <c:pt idx="9">
                  <c:v>43770</c:v>
                </c:pt>
                <c:pt idx="10">
                  <c:v>43800</c:v>
                </c:pt>
                <c:pt idx="11">
                  <c:v>43831</c:v>
                </c:pt>
                <c:pt idx="12">
                  <c:v>43862</c:v>
                </c:pt>
                <c:pt idx="13">
                  <c:v>43891</c:v>
                </c:pt>
                <c:pt idx="14">
                  <c:v>43922</c:v>
                </c:pt>
                <c:pt idx="15">
                  <c:v>43952</c:v>
                </c:pt>
                <c:pt idx="16">
                  <c:v>43983</c:v>
                </c:pt>
                <c:pt idx="17">
                  <c:v>44013</c:v>
                </c:pt>
                <c:pt idx="18">
                  <c:v>44044</c:v>
                </c:pt>
                <c:pt idx="19">
                  <c:v>44075</c:v>
                </c:pt>
                <c:pt idx="20">
                  <c:v>44105</c:v>
                </c:pt>
                <c:pt idx="21">
                  <c:v>44136</c:v>
                </c:pt>
                <c:pt idx="22">
                  <c:v>44166</c:v>
                </c:pt>
                <c:pt idx="23">
                  <c:v>44197</c:v>
                </c:pt>
                <c:pt idx="24">
                  <c:v>44228</c:v>
                </c:pt>
                <c:pt idx="25">
                  <c:v>44256</c:v>
                </c:pt>
                <c:pt idx="26">
                  <c:v>44287</c:v>
                </c:pt>
                <c:pt idx="27">
                  <c:v>44317</c:v>
                </c:pt>
                <c:pt idx="28">
                  <c:v>44348</c:v>
                </c:pt>
                <c:pt idx="29">
                  <c:v>44378</c:v>
                </c:pt>
                <c:pt idx="30">
                  <c:v>44409</c:v>
                </c:pt>
                <c:pt idx="31">
                  <c:v>44440</c:v>
                </c:pt>
                <c:pt idx="32">
                  <c:v>44470</c:v>
                </c:pt>
                <c:pt idx="33">
                  <c:v>44501</c:v>
                </c:pt>
                <c:pt idx="34">
                  <c:v>44531</c:v>
                </c:pt>
              </c:numCache>
            </c:numRef>
          </c:cat>
          <c:val>
            <c:numRef>
              <c:f>'QUESTION 4'!$K$2:$K$1048360</c:f>
              <c:numCache>
                <c:formatCode>General</c:formatCode>
                <c:ptCount val="1048359"/>
                <c:pt idx="11">
                  <c:v>7.1401869158878153</c:v>
                </c:pt>
                <c:pt idx="12">
                  <c:v>6.2957930354621068</c:v>
                </c:pt>
                <c:pt idx="13">
                  <c:v>5.717777718734256</c:v>
                </c:pt>
                <c:pt idx="14">
                  <c:v>5.8384178413633494</c:v>
                </c:pt>
                <c:pt idx="15">
                  <c:v>3.1636072451279689</c:v>
                </c:pt>
                <c:pt idx="16">
                  <c:v>5.8246141096032344</c:v>
                </c:pt>
                <c:pt idx="17">
                  <c:v>5.3607343613016365</c:v>
                </c:pt>
                <c:pt idx="18">
                  <c:v>5.9655517621993397</c:v>
                </c:pt>
                <c:pt idx="19">
                  <c:v>5.6147759940977622</c:v>
                </c:pt>
                <c:pt idx="20">
                  <c:v>5.8985291520548788</c:v>
                </c:pt>
                <c:pt idx="21">
                  <c:v>6.1062609129458538</c:v>
                </c:pt>
                <c:pt idx="22">
                  <c:v>6.5521882165287746</c:v>
                </c:pt>
                <c:pt idx="23">
                  <c:v>6.536996190094273</c:v>
                </c:pt>
                <c:pt idx="24">
                  <c:v>6.4188594837769353</c:v>
                </c:pt>
                <c:pt idx="25">
                  <c:v>5.3896232978829053</c:v>
                </c:pt>
                <c:pt idx="26">
                  <c:v>8.237285246997061</c:v>
                </c:pt>
                <c:pt idx="27">
                  <c:v>6.5832945840777484</c:v>
                </c:pt>
                <c:pt idx="28">
                  <c:v>7.3346222559408671</c:v>
                </c:pt>
                <c:pt idx="29">
                  <c:v>6.9184370533659649</c:v>
                </c:pt>
                <c:pt idx="30">
                  <c:v>6.6218625042154144</c:v>
                </c:pt>
                <c:pt idx="31">
                  <c:v>5.4556283502084568</c:v>
                </c:pt>
                <c:pt idx="32">
                  <c:v>5.207108937890828</c:v>
                </c:pt>
                <c:pt idx="33">
                  <c:v>5.3469931934601167</c:v>
                </c:pt>
                <c:pt idx="34">
                  <c:v>5.8088650479954733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D2-4F82-8301-0D2745DB5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504176"/>
        <c:axId val="1520492656"/>
      </c:lineChart>
      <c:dateAx>
        <c:axId val="152050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492656"/>
        <c:crosses val="autoZero"/>
        <c:auto val="1"/>
        <c:lblOffset val="100"/>
        <c:baseTimeUnit val="months"/>
      </c:dateAx>
      <c:valAx>
        <c:axId val="15204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 Trend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0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1</xdr:row>
      <xdr:rowOff>7620</xdr:rowOff>
    </xdr:from>
    <xdr:to>
      <xdr:col>16</xdr:col>
      <xdr:colOff>601980</xdr:colOff>
      <xdr:row>14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AD5F4A-0990-EB86-829B-C4A77B33D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9</xdr:row>
      <xdr:rowOff>30480</xdr:rowOff>
    </xdr:from>
    <xdr:to>
      <xdr:col>21</xdr:col>
      <xdr:colOff>601980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A9B0B8-B2EC-3FB4-07A0-FA2C51482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 Prasad" refreshedDate="46142.567825347222" createdVersion="8" refreshedVersion="8" minRefreshableVersion="3" recordCount="76" xr:uid="{8E088D16-7B69-47FB-81C8-3B44D6E0B99D}">
  <cacheSource type="worksheet">
    <worksheetSource ref="A1:E77" sheet="QUESTION 2"/>
  </cacheSource>
  <cacheFields count="5">
    <cacheField name="Sector" numFmtId="0">
      <sharedItems/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TOTAL" numFmtId="0">
      <sharedItems containsSemiMixedTypes="0" containsString="0" containsNumber="1" minValue="3537.2999999999997" maxValue="4833.5000000000009"/>
    </cacheField>
    <cacheField name="Y-O-Y" numFmtId="0">
      <sharedItems containsString="0" containsBlank="1" containsNumber="1" minValue="1.6999782750380283" maxValue="10.2317893925115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Rural+Urban"/>
    <x v="0"/>
    <s v="January"/>
    <n v="3537.2999999999997"/>
    <m/>
  </r>
  <r>
    <s v="Rural+Urban"/>
    <x v="0"/>
    <s v="February"/>
    <n v="3538.6000000000004"/>
    <m/>
  </r>
  <r>
    <s v="Rural+Urban"/>
    <x v="0"/>
    <s v="March"/>
    <n v="3541.4"/>
    <m/>
  </r>
  <r>
    <s v="Rural+Urban"/>
    <x v="0"/>
    <s v="April"/>
    <n v="3545.4"/>
    <m/>
  </r>
  <r>
    <s v="Rural+Urban"/>
    <x v="0"/>
    <s v="May"/>
    <n v="3550.3"/>
    <m/>
  </r>
  <r>
    <s v="Rural+Urban"/>
    <x v="0"/>
    <s v="June"/>
    <n v="3567.5"/>
    <m/>
  </r>
  <r>
    <s v="Rural+Urban"/>
    <x v="0"/>
    <s v="July"/>
    <n v="3613.7"/>
    <m/>
  </r>
  <r>
    <s v="Rural+Urban"/>
    <x v="0"/>
    <s v="August"/>
    <n v="3642.2999999999997"/>
    <m/>
  </r>
  <r>
    <s v="Rural+Urban"/>
    <x v="0"/>
    <s v="September"/>
    <n v="3637.9000000000005"/>
    <m/>
  </r>
  <r>
    <s v="Rural+Urban"/>
    <x v="0"/>
    <s v="October"/>
    <n v="3656.7000000000003"/>
    <m/>
  </r>
  <r>
    <s v="Rural+Urban"/>
    <x v="0"/>
    <s v="November"/>
    <n v="3700.5000000000005"/>
    <m/>
  </r>
  <r>
    <s v="Rural+Urban"/>
    <x v="0"/>
    <s v="December"/>
    <n v="3691.2"/>
    <m/>
  </r>
  <r>
    <s v="Rural+Urban"/>
    <x v="1"/>
    <s v="January"/>
    <n v="3682.4000000000005"/>
    <n v="4.1019986995731443"/>
  </r>
  <r>
    <s v="Rural+Urban"/>
    <x v="1"/>
    <s v="February"/>
    <n v="3667.0999999999995"/>
    <n v="3.6313796416661694"/>
  </r>
  <r>
    <s v="Rural+Urban"/>
    <x v="1"/>
    <s v="March"/>
    <n v="3670.5"/>
    <n v="3.6454509516010591"/>
  </r>
  <r>
    <s v="Rural+Urban"/>
    <x v="1"/>
    <s v="April"/>
    <n v="3683.4"/>
    <n v="3.8923675748857676"/>
  </r>
  <r>
    <s v="Rural+Urban"/>
    <x v="1"/>
    <s v="May"/>
    <n v="3695.9000000000005"/>
    <n v="4.1010618820944806"/>
  </r>
  <r>
    <s v="Rural+Urban"/>
    <x v="1"/>
    <s v="June"/>
    <n v="3717.0999999999995"/>
    <n v="4.193412754029417"/>
  </r>
  <r>
    <s v="Rural+Urban"/>
    <x v="1"/>
    <s v="July"/>
    <n v="3746.9999999999991"/>
    <n v="3.6887400725018478"/>
  </r>
  <r>
    <s v="Rural+Urban"/>
    <x v="1"/>
    <s v="August"/>
    <n v="3759.7000000000003"/>
    <n v="3.2232380638607623"/>
  </r>
  <r>
    <s v="Rural+Urban"/>
    <x v="1"/>
    <s v="September"/>
    <n v="3750.2000000000003"/>
    <n v="3.0869457654141046"/>
  </r>
  <r>
    <s v="Rural+Urban"/>
    <x v="1"/>
    <s v="October"/>
    <n v="3768.2"/>
    <n v="3.0491973637432532"/>
  </r>
  <r>
    <s v="Rural+Urban"/>
    <x v="1"/>
    <s v="November"/>
    <n v="3767.3"/>
    <n v="1.8051614646669292"/>
  </r>
  <r>
    <s v="Rural+Urban"/>
    <x v="1"/>
    <s v="December"/>
    <n v="3756.9999999999995"/>
    <n v="1.7826181187689569"/>
  </r>
  <r>
    <s v="Rural+Urban"/>
    <x v="2"/>
    <s v="January"/>
    <n v="3745.0000000000009"/>
    <n v="1.6999782750380283"/>
  </r>
  <r>
    <s v="Rural+Urban"/>
    <x v="2"/>
    <s v="February"/>
    <n v="3753.3"/>
    <n v="2.3506312890294985"/>
  </r>
  <r>
    <s v="Rural+Urban"/>
    <x v="2"/>
    <s v="March"/>
    <n v="3763.6999999999994"/>
    <n v="2.5391636016891259"/>
  </r>
  <r>
    <s v="Rural+Urban"/>
    <x v="2"/>
    <s v="May"/>
    <n v="3802.3999999999996"/>
    <n v="3.2307107563663879"/>
  </r>
  <r>
    <s v="Rural+Urban"/>
    <x v="2"/>
    <s v="June"/>
    <n v="3829.7000000000003"/>
    <n v="3.6202278200167672"/>
  </r>
  <r>
    <s v="Rural+Urban"/>
    <x v="2"/>
    <s v="July"/>
    <n v="3861.2000000000003"/>
    <n v="3.8766780554733753"/>
  </r>
  <r>
    <s v="Rural+Urban"/>
    <x v="2"/>
    <s v="August"/>
    <n v="3878.2000000000003"/>
    <n v="3.5014678409394504"/>
  </r>
  <r>
    <s v="Rural+Urban"/>
    <x v="2"/>
    <s v="September"/>
    <n v="3895.7"/>
    <n v="3.6173098917466695"/>
  </r>
  <r>
    <s v="Rural+Urban"/>
    <x v="2"/>
    <s v="October"/>
    <n v="3930.7"/>
    <n v="4.8130766359127382"/>
  </r>
  <r>
    <s v="Rural+Urban"/>
    <x v="2"/>
    <s v="November"/>
    <n v="3963.7000000000007"/>
    <n v="5.1881534950374428"/>
  </r>
  <r>
    <s v="Rural+Urban"/>
    <x v="2"/>
    <s v="December"/>
    <n v="4009"/>
    <n v="6.4157354073208879"/>
  </r>
  <r>
    <s v="Rural+Urban"/>
    <x v="3"/>
    <s v="January"/>
    <n v="4012.3999999999996"/>
    <n v="6.7979771093957977"/>
  </r>
  <r>
    <s v="Rural+Urban"/>
    <x v="3"/>
    <s v="February"/>
    <n v="3989.5999999999995"/>
    <n v="6.5313751668891449"/>
  </r>
  <r>
    <s v="Rural+Urban"/>
    <x v="3"/>
    <s v="March"/>
    <n v="3978.9000000000005"/>
    <n v="6.0107105746942784"/>
  </r>
  <r>
    <s v="Rural+Urban"/>
    <x v="3"/>
    <s v="April"/>
    <n v="4024.3999999999996"/>
    <n v="6.926694476180363"/>
  </r>
  <r>
    <s v="Rural+Urban"/>
    <x v="3"/>
    <s v="May"/>
    <n v="3950.8566666666661"/>
    <n v="3.9042885195315193"/>
  </r>
  <r>
    <s v="Rural+Urban"/>
    <x v="3"/>
    <s v="June"/>
    <n v="4086.1000000000004"/>
    <n v="6.6950413870538181"/>
  </r>
  <r>
    <s v="Rural+Urban"/>
    <x v="3"/>
    <s v="July"/>
    <n v="4086.1000000000004"/>
    <n v="5.8246141096032344"/>
  </r>
  <r>
    <s v="Rural+Urban"/>
    <x v="3"/>
    <s v="August"/>
    <n v="4128.0999999999995"/>
    <n v="6.4437109999484088"/>
  </r>
  <r>
    <s v="Rural+Urban"/>
    <x v="3"/>
    <s v="September"/>
    <n v="4151.4000000000005"/>
    <n v="6.5636470980825203"/>
  </r>
  <r>
    <s v="Rural+Urban"/>
    <x v="3"/>
    <s v="October"/>
    <n v="4197.5"/>
    <n v="6.787595084844944"/>
  </r>
  <r>
    <s v="Rural+Urban"/>
    <x v="3"/>
    <s v="November"/>
    <n v="4253.7999999999993"/>
    <n v="7.3189191916643166"/>
  </r>
  <r>
    <s v="Rural+Urban"/>
    <x v="3"/>
    <s v="December"/>
    <n v="4275.3"/>
    <n v="6.6425542529309105"/>
  </r>
  <r>
    <s v="Rural+Urban"/>
    <x v="4"/>
    <s v="January"/>
    <n v="4250.4000000000005"/>
    <n v="5.9316120027913701"/>
  </r>
  <r>
    <s v="Rural+Urban"/>
    <x v="4"/>
    <s v="February"/>
    <n v="4234.3000000000011"/>
    <n v="6.1334469621015053"/>
  </r>
  <r>
    <s v="Rural+Urban"/>
    <x v="4"/>
    <s v="March"/>
    <n v="4241.2999999999993"/>
    <n v="6.5947875040840103"/>
  </r>
  <r>
    <s v="Rural+Urban"/>
    <x v="4"/>
    <s v="April"/>
    <n v="4276.2999999999993"/>
    <n v="6.2593181592286964"/>
  </r>
  <r>
    <s v="Rural+Urban"/>
    <x v="4"/>
    <s v="May"/>
    <n v="4355.1000000000013"/>
    <n v="10.231789392511544"/>
  </r>
  <r>
    <s v="Rural+Urban"/>
    <x v="4"/>
    <s v="June"/>
    <n v="4385.8"/>
    <n v="7.3346222559408671"/>
  </r>
  <r>
    <s v="Rural+Urban"/>
    <x v="4"/>
    <s v="July"/>
    <n v="4413.7"/>
    <n v="8.017424928415835"/>
  </r>
  <r>
    <s v="Rural+Urban"/>
    <x v="4"/>
    <s v="August"/>
    <n v="4426.2999999999993"/>
    <n v="7.2236622174850389"/>
  </r>
  <r>
    <s v="Rural+Urban"/>
    <x v="4"/>
    <s v="September"/>
    <n v="4426.5"/>
    <n v="6.626680156091906"/>
  </r>
  <r>
    <s v="Rural+Urban"/>
    <x v="4"/>
    <s v="October"/>
    <n v="4475.2999999999993"/>
    <n v="6.6182251340083207"/>
  </r>
  <r>
    <s v="Rural+Urban"/>
    <x v="4"/>
    <s v="November"/>
    <n v="4503.9000000000005"/>
    <n v="5.8794489632799225"/>
  </r>
  <r>
    <s v="Rural+Urban"/>
    <x v="4"/>
    <s v="December"/>
    <n v="4497.3"/>
    <n v="5.1926180618903937"/>
  </r>
  <r>
    <s v="Rural+Urban"/>
    <x v="5"/>
    <s v="January"/>
    <n v="4490.4999999999991"/>
    <n v="5.6488801054018092"/>
  </r>
  <r>
    <s v="Rural+Urban"/>
    <x v="5"/>
    <s v="February"/>
    <n v="4500.4000000000005"/>
    <n v="6.2843917530642459"/>
  </r>
  <r>
    <s v="Rural+Urban"/>
    <x v="5"/>
    <s v="March"/>
    <n v="4540.7"/>
    <n v="7.0591563907292709"/>
  </r>
  <r>
    <s v="Rural+Urban"/>
    <x v="5"/>
    <s v="April"/>
    <n v="4598.2000000000007"/>
    <n v="7.5275354862849069"/>
  </r>
  <r>
    <s v="Rural+Urban"/>
    <x v="5"/>
    <s v="May"/>
    <n v="4637.2999999999993"/>
    <n v="6.4797593625863446"/>
  </r>
  <r>
    <s v="Rural+Urban"/>
    <x v="5"/>
    <s v="June"/>
    <n v="4669.2000000000007"/>
    <n v="6.461762962287394"/>
  </r>
  <r>
    <s v="Rural+Urban"/>
    <x v="5"/>
    <s v="July"/>
    <n v="4689.5"/>
    <n v="6.2487255590547655"/>
  </r>
  <r>
    <s v="Rural+Urban"/>
    <x v="5"/>
    <s v="August"/>
    <n v="4703.7"/>
    <n v="6.2670853760477279"/>
  </r>
  <r>
    <s v="Rural+Urban"/>
    <x v="5"/>
    <s v="September"/>
    <n v="4727.1000000000004"/>
    <n v="6.7909183327685616"/>
  </r>
  <r>
    <s v="Rural+Urban"/>
    <x v="5"/>
    <s v="October"/>
    <n v="4756.3999999999996"/>
    <n v="6.2811431635868082"/>
  </r>
  <r>
    <s v="Rural+Urban"/>
    <x v="5"/>
    <s v="November"/>
    <n v="4765.8"/>
    <n v="5.8149603676813344"/>
  </r>
  <r>
    <s v="Rural+Urban"/>
    <x v="5"/>
    <s v="December"/>
    <n v="4760.5"/>
    <n v="5.8524003290863362"/>
  </r>
  <r>
    <s v="Rural+Urban"/>
    <x v="6"/>
    <s v="January"/>
    <n v="4781.8"/>
    <n v="6.4870281705823665"/>
  </r>
  <r>
    <s v="Rural+Urban"/>
    <x v="6"/>
    <s v="February"/>
    <n v="4784.5999999999995"/>
    <n v="6.3149942227357316"/>
  </r>
  <r>
    <s v="Rural+Urban"/>
    <x v="6"/>
    <s v="March"/>
    <n v="4784.3999999999996"/>
    <n v="5.3670138965357728"/>
  </r>
  <r>
    <s v="Rural+Urban"/>
    <x v="6"/>
    <s v="April"/>
    <n v="4807.2"/>
    <n v="4.5452568396328799"/>
  </r>
  <r>
    <s v="Rural+Urban"/>
    <x v="6"/>
    <s v="May"/>
    <n v="4833.5000000000009"/>
    <n v="4.23091022793439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875C3-6BD5-4E31-A646-1B55116579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2:H10" firstHeaderRow="1" firstDataRow="1" firstDataCol="1"/>
  <pivotFields count="5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Y-O-Y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0EF1-3047-431A-8CC3-06DBC914CD2F}">
  <dimension ref="A1:AF373"/>
  <sheetViews>
    <sheetView tabSelected="1" workbookViewId="0">
      <selection activeCell="L8" sqref="L8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F1" t="s">
        <v>99</v>
      </c>
    </row>
    <row r="2" spans="1:32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v>0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F2">
        <f t="shared" ref="AF2:AF65" si="0">(D3-D2)/D2*100</f>
        <v>2.7906976744186047</v>
      </c>
    </row>
    <row r="3" spans="1:32" x14ac:dyDescent="0.3">
      <c r="A3" t="s">
        <v>32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F3">
        <f t="shared" si="0"/>
        <v>-1.9004524886877778</v>
      </c>
    </row>
    <row r="4" spans="1:32" x14ac:dyDescent="0.3">
      <c r="A4" t="s">
        <v>33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F4">
        <f t="shared" si="0"/>
        <v>0.73800738007379807</v>
      </c>
    </row>
    <row r="5" spans="1:32" x14ac:dyDescent="0.3">
      <c r="A5" t="s">
        <v>30</v>
      </c>
      <c r="B5">
        <v>2013</v>
      </c>
      <c r="C5" t="s">
        <v>34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0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F5">
        <f t="shared" si="0"/>
        <v>3.3882783882783909</v>
      </c>
    </row>
    <row r="6" spans="1:32" x14ac:dyDescent="0.3">
      <c r="A6" t="s">
        <v>32</v>
      </c>
      <c r="B6">
        <v>2013</v>
      </c>
      <c r="C6" t="s">
        <v>34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F6">
        <f t="shared" si="0"/>
        <v>-2.2143489813994681</v>
      </c>
    </row>
    <row r="7" spans="1:32" x14ac:dyDescent="0.3">
      <c r="A7" t="s">
        <v>33</v>
      </c>
      <c r="B7">
        <v>2013</v>
      </c>
      <c r="C7" t="s">
        <v>34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F7">
        <f t="shared" si="0"/>
        <v>-0.18115942028985763</v>
      </c>
    </row>
    <row r="8" spans="1:32" x14ac:dyDescent="0.3">
      <c r="A8" t="s">
        <v>30</v>
      </c>
      <c r="B8">
        <v>2013</v>
      </c>
      <c r="C8" t="s">
        <v>35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0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F8">
        <f t="shared" si="0"/>
        <v>3.3575317604355739</v>
      </c>
    </row>
    <row r="9" spans="1:32" x14ac:dyDescent="0.3">
      <c r="A9" t="s">
        <v>32</v>
      </c>
      <c r="B9">
        <v>2013</v>
      </c>
      <c r="C9" t="s">
        <v>35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F9">
        <f t="shared" si="0"/>
        <v>-2.1949078138718172</v>
      </c>
    </row>
    <row r="10" spans="1:32" x14ac:dyDescent="0.3">
      <c r="A10" t="s">
        <v>33</v>
      </c>
      <c r="B10">
        <v>2013</v>
      </c>
      <c r="C10" t="s">
        <v>35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F10">
        <f t="shared" si="0"/>
        <v>-1.0771992818671479</v>
      </c>
    </row>
    <row r="11" spans="1:32" x14ac:dyDescent="0.3">
      <c r="A11" t="s">
        <v>30</v>
      </c>
      <c r="B11">
        <v>2013</v>
      </c>
      <c r="C11" t="s">
        <v>36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0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F11">
        <f t="shared" si="0"/>
        <v>3.9927404718693209</v>
      </c>
    </row>
    <row r="12" spans="1:32" x14ac:dyDescent="0.3">
      <c r="A12" t="s">
        <v>32</v>
      </c>
      <c r="B12">
        <v>2013</v>
      </c>
      <c r="C12" t="s">
        <v>36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F12">
        <f t="shared" si="0"/>
        <v>-2.6178010471204187</v>
      </c>
    </row>
    <row r="13" spans="1:32" x14ac:dyDescent="0.3">
      <c r="A13" t="s">
        <v>33</v>
      </c>
      <c r="B13">
        <v>2013</v>
      </c>
      <c r="C13" t="s">
        <v>36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F13">
        <f t="shared" si="0"/>
        <v>-0.62724014336916545</v>
      </c>
    </row>
    <row r="14" spans="1:32" x14ac:dyDescent="0.3">
      <c r="A14" t="s">
        <v>30</v>
      </c>
      <c r="B14">
        <v>2013</v>
      </c>
      <c r="C14" t="s">
        <v>37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0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F14">
        <f t="shared" si="0"/>
        <v>4.05770964833183</v>
      </c>
    </row>
    <row r="15" spans="1:32" x14ac:dyDescent="0.3">
      <c r="A15" t="s">
        <v>32</v>
      </c>
      <c r="B15">
        <v>2013</v>
      </c>
      <c r="C15" t="s">
        <v>37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F15">
        <f t="shared" si="0"/>
        <v>-2.6863084922010469</v>
      </c>
    </row>
    <row r="16" spans="1:32" x14ac:dyDescent="0.3">
      <c r="A16" t="s">
        <v>33</v>
      </c>
      <c r="B16">
        <v>2013</v>
      </c>
      <c r="C16" t="s">
        <v>37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F16">
        <f t="shared" si="0"/>
        <v>0</v>
      </c>
    </row>
    <row r="17" spans="1:32" x14ac:dyDescent="0.3">
      <c r="A17" t="s">
        <v>30</v>
      </c>
      <c r="B17">
        <v>2013</v>
      </c>
      <c r="C17" t="s">
        <v>38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0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F17">
        <f t="shared" si="0"/>
        <v>4.1852181656277851</v>
      </c>
    </row>
    <row r="18" spans="1:32" x14ac:dyDescent="0.3">
      <c r="A18" t="s">
        <v>32</v>
      </c>
      <c r="B18">
        <v>2013</v>
      </c>
      <c r="C18" t="s">
        <v>38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F18">
        <f t="shared" si="0"/>
        <v>-2.7350427350427373</v>
      </c>
    </row>
    <row r="19" spans="1:32" x14ac:dyDescent="0.3">
      <c r="A19" t="s">
        <v>33</v>
      </c>
      <c r="B19">
        <v>2013</v>
      </c>
      <c r="C19" t="s">
        <v>38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F19">
        <f t="shared" si="0"/>
        <v>-0.35149384885763751</v>
      </c>
    </row>
    <row r="20" spans="1:32" x14ac:dyDescent="0.3">
      <c r="A20" t="s">
        <v>30</v>
      </c>
      <c r="B20">
        <v>2013</v>
      </c>
      <c r="C20" t="s">
        <v>39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0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F20">
        <f t="shared" si="0"/>
        <v>3.8800705467372056</v>
      </c>
    </row>
    <row r="21" spans="1:32" x14ac:dyDescent="0.3">
      <c r="A21" t="s">
        <v>32</v>
      </c>
      <c r="B21">
        <v>2013</v>
      </c>
      <c r="C21" t="s">
        <v>39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F21">
        <f t="shared" si="0"/>
        <v>-2.5466893039049237</v>
      </c>
    </row>
    <row r="22" spans="1:32" x14ac:dyDescent="0.3">
      <c r="A22" t="s">
        <v>33</v>
      </c>
      <c r="B22">
        <v>2013</v>
      </c>
      <c r="C22" t="s">
        <v>39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F22">
        <f t="shared" si="0"/>
        <v>-0.43554006968641112</v>
      </c>
    </row>
    <row r="23" spans="1:32" x14ac:dyDescent="0.3">
      <c r="A23" t="s">
        <v>30</v>
      </c>
      <c r="B23">
        <v>2013</v>
      </c>
      <c r="C23" t="s">
        <v>40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0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F23">
        <f t="shared" si="0"/>
        <v>3.499562554680665</v>
      </c>
    </row>
    <row r="24" spans="1:32" x14ac:dyDescent="0.3">
      <c r="A24" t="s">
        <v>32</v>
      </c>
      <c r="B24">
        <v>2013</v>
      </c>
      <c r="C24" t="s">
        <v>40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F24">
        <f t="shared" si="0"/>
        <v>-2.2823330515638234</v>
      </c>
    </row>
    <row r="25" spans="1:32" x14ac:dyDescent="0.3">
      <c r="A25" t="s">
        <v>33</v>
      </c>
      <c r="B25">
        <v>2013</v>
      </c>
      <c r="C25" t="s">
        <v>40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F25">
        <f t="shared" si="0"/>
        <v>-0.17301038062282756</v>
      </c>
    </row>
    <row r="26" spans="1:32" x14ac:dyDescent="0.3">
      <c r="A26" t="s">
        <v>30</v>
      </c>
      <c r="B26">
        <v>2013</v>
      </c>
      <c r="C26" t="s">
        <v>41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0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F26">
        <f t="shared" si="0"/>
        <v>2.7729636048526762</v>
      </c>
    </row>
    <row r="27" spans="1:32" x14ac:dyDescent="0.3">
      <c r="A27" t="s">
        <v>32</v>
      </c>
      <c r="B27">
        <v>2013</v>
      </c>
      <c r="C27" t="s">
        <v>41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F27">
        <f t="shared" si="0"/>
        <v>-1.8549747048903782</v>
      </c>
    </row>
    <row r="28" spans="1:32" x14ac:dyDescent="0.3">
      <c r="A28" t="s">
        <v>33</v>
      </c>
      <c r="B28">
        <v>2013</v>
      </c>
      <c r="C28" t="s">
        <v>41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F28">
        <f t="shared" si="0"/>
        <v>-8.5910652920969513E-2</v>
      </c>
    </row>
    <row r="29" spans="1:32" x14ac:dyDescent="0.3">
      <c r="A29" t="s">
        <v>30</v>
      </c>
      <c r="B29">
        <v>2013</v>
      </c>
      <c r="C29" t="s">
        <v>42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0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F29">
        <f t="shared" si="0"/>
        <v>2.2355975924333693</v>
      </c>
    </row>
    <row r="30" spans="1:32" x14ac:dyDescent="0.3">
      <c r="A30" t="s">
        <v>32</v>
      </c>
      <c r="B30">
        <v>2013</v>
      </c>
      <c r="C30" t="s">
        <v>42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F30">
        <f t="shared" si="0"/>
        <v>-1.5138772077376041</v>
      </c>
    </row>
    <row r="31" spans="1:32" x14ac:dyDescent="0.3">
      <c r="A31" t="s">
        <v>33</v>
      </c>
      <c r="B31">
        <v>2013</v>
      </c>
      <c r="C31" t="s">
        <v>42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F31">
        <f t="shared" si="0"/>
        <v>0.1707941929974405</v>
      </c>
    </row>
    <row r="32" spans="1:32" x14ac:dyDescent="0.3">
      <c r="A32" t="s">
        <v>30</v>
      </c>
      <c r="B32">
        <v>2013</v>
      </c>
      <c r="C32" t="s">
        <v>43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0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F32">
        <f t="shared" si="0"/>
        <v>2.1312872975277068</v>
      </c>
    </row>
    <row r="33" spans="1:32" x14ac:dyDescent="0.3">
      <c r="A33" t="s">
        <v>32</v>
      </c>
      <c r="B33">
        <v>2013</v>
      </c>
      <c r="C33" t="s">
        <v>44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F33">
        <f t="shared" si="0"/>
        <v>-1.4190317195325568</v>
      </c>
    </row>
    <row r="34" spans="1:32" x14ac:dyDescent="0.3">
      <c r="A34" t="s">
        <v>33</v>
      </c>
      <c r="B34">
        <v>2013</v>
      </c>
      <c r="C34" t="s">
        <v>44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F34">
        <f t="shared" si="0"/>
        <v>0.25402201524133056</v>
      </c>
    </row>
    <row r="35" spans="1:32" x14ac:dyDescent="0.3">
      <c r="A35" t="s">
        <v>30</v>
      </c>
      <c r="B35">
        <v>2013</v>
      </c>
      <c r="C35" t="s">
        <v>45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0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F35">
        <f t="shared" si="0"/>
        <v>1.7736486486486438</v>
      </c>
    </row>
    <row r="36" spans="1:32" x14ac:dyDescent="0.3">
      <c r="A36" t="s">
        <v>32</v>
      </c>
      <c r="B36">
        <v>2013</v>
      </c>
      <c r="C36" t="s">
        <v>45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F36">
        <f t="shared" si="0"/>
        <v>-1.1618257261410836</v>
      </c>
    </row>
    <row r="37" spans="1:32" x14ac:dyDescent="0.3">
      <c r="A37" t="s">
        <v>33</v>
      </c>
      <c r="B37">
        <v>2013</v>
      </c>
      <c r="C37" t="s">
        <v>45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F37">
        <f t="shared" si="0"/>
        <v>-0.16792611251048584</v>
      </c>
    </row>
    <row r="38" spans="1:32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0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F38">
        <f t="shared" si="0"/>
        <v>1.9343986543313683</v>
      </c>
    </row>
    <row r="39" spans="1:32" x14ac:dyDescent="0.3">
      <c r="A39" t="s">
        <v>32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F39">
        <f t="shared" si="0"/>
        <v>-1.320132013201327</v>
      </c>
    </row>
    <row r="40" spans="1:32" x14ac:dyDescent="0.3">
      <c r="A40" t="s">
        <v>33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F40">
        <f t="shared" si="0"/>
        <v>-0.16722408026754904</v>
      </c>
    </row>
    <row r="41" spans="1:32" x14ac:dyDescent="0.3">
      <c r="A41" t="s">
        <v>30</v>
      </c>
      <c r="B41">
        <v>2014</v>
      </c>
      <c r="C41" t="s">
        <v>34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0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F41">
        <f t="shared" si="0"/>
        <v>2.0938023450586263</v>
      </c>
    </row>
    <row r="42" spans="1:32" x14ac:dyDescent="0.3">
      <c r="A42" t="s">
        <v>32</v>
      </c>
      <c r="B42">
        <v>2014</v>
      </c>
      <c r="C42" t="s">
        <v>34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F42">
        <f t="shared" si="0"/>
        <v>-1.3945857260049244</v>
      </c>
    </row>
    <row r="43" spans="1:32" x14ac:dyDescent="0.3">
      <c r="A43" t="s">
        <v>33</v>
      </c>
      <c r="B43">
        <v>2014</v>
      </c>
      <c r="C43" t="s">
        <v>34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F43">
        <f t="shared" si="0"/>
        <v>-8.3194675540772478E-2</v>
      </c>
    </row>
    <row r="44" spans="1:32" x14ac:dyDescent="0.3">
      <c r="A44" t="s">
        <v>30</v>
      </c>
      <c r="B44">
        <v>2014</v>
      </c>
      <c r="C44" t="s">
        <v>35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0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F44">
        <f t="shared" si="0"/>
        <v>1.665278934221482</v>
      </c>
    </row>
    <row r="45" spans="1:32" x14ac:dyDescent="0.3">
      <c r="A45" t="s">
        <v>32</v>
      </c>
      <c r="B45">
        <v>2014</v>
      </c>
      <c r="C45" t="s">
        <v>35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F45">
        <f t="shared" si="0"/>
        <v>-1.1466011466011397</v>
      </c>
    </row>
    <row r="46" spans="1:32" x14ac:dyDescent="0.3">
      <c r="A46" t="s">
        <v>33</v>
      </c>
      <c r="B46">
        <v>2014</v>
      </c>
      <c r="C46" t="s">
        <v>46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F46">
        <f t="shared" si="0"/>
        <v>-0.41425020712510358</v>
      </c>
    </row>
    <row r="47" spans="1:32" x14ac:dyDescent="0.3">
      <c r="A47" t="s">
        <v>30</v>
      </c>
      <c r="B47">
        <v>2014</v>
      </c>
      <c r="C47" t="s">
        <v>36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0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F47">
        <f t="shared" si="0"/>
        <v>1.9134775374376016</v>
      </c>
    </row>
    <row r="48" spans="1:32" x14ac:dyDescent="0.3">
      <c r="A48" t="s">
        <v>32</v>
      </c>
      <c r="B48">
        <v>2014</v>
      </c>
      <c r="C48" t="s">
        <v>36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F48">
        <f t="shared" si="0"/>
        <v>-1.3061224489795873</v>
      </c>
    </row>
    <row r="49" spans="1:32" x14ac:dyDescent="0.3">
      <c r="A49" t="s">
        <v>33</v>
      </c>
      <c r="B49">
        <v>2014</v>
      </c>
      <c r="C49" t="s">
        <v>36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F49">
        <f t="shared" si="0"/>
        <v>-0.49627791563276136</v>
      </c>
    </row>
    <row r="50" spans="1:32" x14ac:dyDescent="0.3">
      <c r="A50" t="s">
        <v>30</v>
      </c>
      <c r="B50">
        <v>2014</v>
      </c>
      <c r="C50" t="s">
        <v>37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0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F50">
        <f t="shared" si="0"/>
        <v>1.9950124688279349</v>
      </c>
    </row>
    <row r="51" spans="1:32" x14ac:dyDescent="0.3">
      <c r="A51" t="s">
        <v>32</v>
      </c>
      <c r="B51">
        <v>2014</v>
      </c>
      <c r="C51" t="s">
        <v>37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F51">
        <f t="shared" si="0"/>
        <v>-1.3039934800326067</v>
      </c>
    </row>
    <row r="52" spans="1:32" x14ac:dyDescent="0.3">
      <c r="A52" t="s">
        <v>33</v>
      </c>
      <c r="B52">
        <v>2014</v>
      </c>
      <c r="C52" t="s">
        <v>37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F52">
        <f t="shared" si="0"/>
        <v>-0.33030553261766432</v>
      </c>
    </row>
    <row r="53" spans="1:32" x14ac:dyDescent="0.3">
      <c r="A53" t="s">
        <v>30</v>
      </c>
      <c r="B53">
        <v>2014</v>
      </c>
      <c r="C53" t="s">
        <v>38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0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F53">
        <f t="shared" si="0"/>
        <v>1.9884009942004899</v>
      </c>
    </row>
    <row r="54" spans="1:32" x14ac:dyDescent="0.3">
      <c r="A54" t="s">
        <v>32</v>
      </c>
      <c r="B54">
        <v>2014</v>
      </c>
      <c r="C54" t="s">
        <v>38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F54">
        <f t="shared" si="0"/>
        <v>-1.2997562956945528</v>
      </c>
    </row>
    <row r="55" spans="1:32" x14ac:dyDescent="0.3">
      <c r="A55" t="s">
        <v>33</v>
      </c>
      <c r="B55">
        <v>2014</v>
      </c>
      <c r="C55" t="s">
        <v>38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F55">
        <f t="shared" si="0"/>
        <v>0.16460905349794472</v>
      </c>
    </row>
    <row r="56" spans="1:32" x14ac:dyDescent="0.3">
      <c r="A56" t="s">
        <v>30</v>
      </c>
      <c r="B56">
        <v>2014</v>
      </c>
      <c r="C56" t="s">
        <v>39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0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F56">
        <f t="shared" si="0"/>
        <v>1.7255546425636765</v>
      </c>
    </row>
    <row r="57" spans="1:32" x14ac:dyDescent="0.3">
      <c r="A57" t="s">
        <v>32</v>
      </c>
      <c r="B57">
        <v>2014</v>
      </c>
      <c r="C57" t="s">
        <v>39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F57">
        <f t="shared" si="0"/>
        <v>-1.1308562197092016</v>
      </c>
    </row>
    <row r="58" spans="1:32" x14ac:dyDescent="0.3">
      <c r="A58" t="s">
        <v>33</v>
      </c>
      <c r="B58">
        <v>2014</v>
      </c>
      <c r="C58" t="s">
        <v>39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F58">
        <f t="shared" si="0"/>
        <v>-0.49019607843137947</v>
      </c>
    </row>
    <row r="59" spans="1:32" x14ac:dyDescent="0.3">
      <c r="A59" t="s">
        <v>30</v>
      </c>
      <c r="B59">
        <v>2014</v>
      </c>
      <c r="C59" t="s">
        <v>40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0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F59">
        <f t="shared" si="0"/>
        <v>2.4630541871921183</v>
      </c>
    </row>
    <row r="60" spans="1:32" x14ac:dyDescent="0.3">
      <c r="A60" t="s">
        <v>32</v>
      </c>
      <c r="B60">
        <v>2014</v>
      </c>
      <c r="C60" t="s">
        <v>40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F60">
        <f t="shared" si="0"/>
        <v>-1.682692307692303</v>
      </c>
    </row>
    <row r="61" spans="1:32" x14ac:dyDescent="0.3">
      <c r="A61" t="s">
        <v>33</v>
      </c>
      <c r="B61">
        <v>2014</v>
      </c>
      <c r="C61" t="s">
        <v>40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F61">
        <f t="shared" si="0"/>
        <v>-0.32599837000815457</v>
      </c>
    </row>
    <row r="62" spans="1:32" x14ac:dyDescent="0.3">
      <c r="A62" t="s">
        <v>30</v>
      </c>
      <c r="B62">
        <v>2014</v>
      </c>
      <c r="C62" t="s">
        <v>41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0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F62">
        <f t="shared" si="0"/>
        <v>1.5535568274734306</v>
      </c>
    </row>
    <row r="63" spans="1:32" x14ac:dyDescent="0.3">
      <c r="A63" t="s">
        <v>32</v>
      </c>
      <c r="B63">
        <v>2014</v>
      </c>
      <c r="C63" t="s">
        <v>41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F63">
        <f t="shared" si="0"/>
        <v>-1.0466988727858271</v>
      </c>
    </row>
    <row r="64" spans="1:32" x14ac:dyDescent="0.3">
      <c r="A64" t="s">
        <v>33</v>
      </c>
      <c r="B64">
        <v>2014</v>
      </c>
      <c r="C64" t="s">
        <v>41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F64">
        <f t="shared" si="0"/>
        <v>-0.24410089503662438</v>
      </c>
    </row>
    <row r="65" spans="1:32" x14ac:dyDescent="0.3">
      <c r="A65" t="s">
        <v>30</v>
      </c>
      <c r="B65">
        <v>2014</v>
      </c>
      <c r="C65" t="s">
        <v>42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0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F65">
        <f t="shared" si="0"/>
        <v>1.6313213703099512</v>
      </c>
    </row>
    <row r="66" spans="1:32" x14ac:dyDescent="0.3">
      <c r="A66" t="s">
        <v>32</v>
      </c>
      <c r="B66">
        <v>2014</v>
      </c>
      <c r="C66" t="s">
        <v>42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F66">
        <f t="shared" ref="AF66:AF129" si="1">(D67-D66)/D66*100</f>
        <v>-1.1235955056179707</v>
      </c>
    </row>
    <row r="67" spans="1:32" x14ac:dyDescent="0.3">
      <c r="A67" t="s">
        <v>33</v>
      </c>
      <c r="B67">
        <v>2014</v>
      </c>
      <c r="C67" t="s">
        <v>42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F67">
        <f t="shared" si="1"/>
        <v>-0.40584415584415579</v>
      </c>
    </row>
    <row r="68" spans="1:32" x14ac:dyDescent="0.3">
      <c r="A68" t="s">
        <v>30</v>
      </c>
      <c r="B68">
        <v>2014</v>
      </c>
      <c r="C68" t="s">
        <v>44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0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F68">
        <f t="shared" si="1"/>
        <v>1.4669926650366725</v>
      </c>
    </row>
    <row r="69" spans="1:32" x14ac:dyDescent="0.3">
      <c r="A69" t="s">
        <v>32</v>
      </c>
      <c r="B69">
        <v>2014</v>
      </c>
      <c r="C69" t="s">
        <v>44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F69">
        <f t="shared" si="1"/>
        <v>-0.96385542168674931</v>
      </c>
    </row>
    <row r="70" spans="1:32" x14ac:dyDescent="0.3">
      <c r="A70" t="s">
        <v>33</v>
      </c>
      <c r="B70">
        <v>2014</v>
      </c>
      <c r="C70" t="s">
        <v>44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F70">
        <f t="shared" si="1"/>
        <v>-0.72992700729926319</v>
      </c>
    </row>
    <row r="71" spans="1:32" x14ac:dyDescent="0.3">
      <c r="A71" t="s">
        <v>30</v>
      </c>
      <c r="B71">
        <v>2014</v>
      </c>
      <c r="C71" t="s">
        <v>45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0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F71">
        <f t="shared" si="1"/>
        <v>1.3071895424836555</v>
      </c>
    </row>
    <row r="72" spans="1:32" x14ac:dyDescent="0.3">
      <c r="A72" t="s">
        <v>32</v>
      </c>
      <c r="B72">
        <v>2014</v>
      </c>
      <c r="C72" t="s">
        <v>45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F72">
        <f t="shared" si="1"/>
        <v>-0.88709677419354394</v>
      </c>
    </row>
    <row r="73" spans="1:32" x14ac:dyDescent="0.3">
      <c r="A73" t="s">
        <v>33</v>
      </c>
      <c r="B73">
        <v>2014</v>
      </c>
      <c r="C73" t="s">
        <v>45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F73">
        <f t="shared" si="1"/>
        <v>0.16273393002440081</v>
      </c>
    </row>
    <row r="74" spans="1:32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0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F74">
        <f t="shared" si="1"/>
        <v>0.73111291632819309</v>
      </c>
    </row>
    <row r="75" spans="1:32" x14ac:dyDescent="0.3">
      <c r="A75" t="s">
        <v>32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F75">
        <f t="shared" si="1"/>
        <v>-0.48387096774193089</v>
      </c>
    </row>
    <row r="76" spans="1:32" x14ac:dyDescent="0.3">
      <c r="A76" t="s">
        <v>33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F76">
        <f t="shared" si="1"/>
        <v>0</v>
      </c>
    </row>
    <row r="77" spans="1:32" x14ac:dyDescent="0.3">
      <c r="A77" t="s">
        <v>30</v>
      </c>
      <c r="B77">
        <v>2015</v>
      </c>
      <c r="C77" t="s">
        <v>34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0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F77">
        <f t="shared" si="1"/>
        <v>0.72933549432738365</v>
      </c>
    </row>
    <row r="78" spans="1:32" x14ac:dyDescent="0.3">
      <c r="A78" t="s">
        <v>32</v>
      </c>
      <c r="B78">
        <v>2015</v>
      </c>
      <c r="C78" t="s">
        <v>34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F78">
        <f t="shared" si="1"/>
        <v>-0.48270313757038968</v>
      </c>
    </row>
    <row r="79" spans="1:32" x14ac:dyDescent="0.3">
      <c r="A79" t="s">
        <v>33</v>
      </c>
      <c r="B79">
        <v>2015</v>
      </c>
      <c r="C79" t="s">
        <v>34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F79">
        <f t="shared" si="1"/>
        <v>-0.32336297493937405</v>
      </c>
    </row>
    <row r="80" spans="1:32" x14ac:dyDescent="0.3">
      <c r="A80" t="s">
        <v>30</v>
      </c>
      <c r="B80">
        <v>2015</v>
      </c>
      <c r="C80" t="s">
        <v>35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0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F80">
        <f t="shared" si="1"/>
        <v>0.5677210056772124</v>
      </c>
    </row>
    <row r="81" spans="1:32" x14ac:dyDescent="0.3">
      <c r="A81" t="s">
        <v>32</v>
      </c>
      <c r="B81">
        <v>2015</v>
      </c>
      <c r="C81" t="s">
        <v>35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F81">
        <f t="shared" si="1"/>
        <v>-0.40322580645161288</v>
      </c>
    </row>
    <row r="82" spans="1:32" x14ac:dyDescent="0.3">
      <c r="A82" t="s">
        <v>33</v>
      </c>
      <c r="B82">
        <v>2015</v>
      </c>
      <c r="C82" t="s">
        <v>35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F82">
        <f t="shared" si="1"/>
        <v>-0.16194331983805899</v>
      </c>
    </row>
    <row r="83" spans="1:32" x14ac:dyDescent="0.3">
      <c r="A83" t="s">
        <v>30</v>
      </c>
      <c r="B83">
        <v>2015</v>
      </c>
      <c r="C83" t="s">
        <v>36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0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F83">
        <f t="shared" si="1"/>
        <v>0.40551500405515001</v>
      </c>
    </row>
    <row r="84" spans="1:32" x14ac:dyDescent="0.3">
      <c r="A84" t="s">
        <v>32</v>
      </c>
      <c r="B84">
        <v>2015</v>
      </c>
      <c r="C84" t="s">
        <v>36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F84">
        <f t="shared" si="1"/>
        <v>-0.24232633279482807</v>
      </c>
    </row>
    <row r="85" spans="1:32" x14ac:dyDescent="0.3">
      <c r="A85" t="s">
        <v>33</v>
      </c>
      <c r="B85">
        <v>2015</v>
      </c>
      <c r="C85" t="s">
        <v>36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F85">
        <f t="shared" si="1"/>
        <v>0</v>
      </c>
    </row>
    <row r="86" spans="1:32" x14ac:dyDescent="0.3">
      <c r="A86" t="s">
        <v>30</v>
      </c>
      <c r="B86">
        <v>2015</v>
      </c>
      <c r="C86" t="s">
        <v>37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0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F86">
        <f t="shared" si="1"/>
        <v>0.24291497975708273</v>
      </c>
    </row>
    <row r="87" spans="1:32" x14ac:dyDescent="0.3">
      <c r="A87" t="s">
        <v>32</v>
      </c>
      <c r="B87">
        <v>2015</v>
      </c>
      <c r="C87" t="s">
        <v>37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F87">
        <f t="shared" si="1"/>
        <v>-0.16155088852988922</v>
      </c>
    </row>
    <row r="88" spans="1:32" x14ac:dyDescent="0.3">
      <c r="A88" t="s">
        <v>33</v>
      </c>
      <c r="B88">
        <v>2015</v>
      </c>
      <c r="C88" t="s">
        <v>37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F88">
        <f t="shared" si="1"/>
        <v>0.40453074433656966</v>
      </c>
    </row>
    <row r="89" spans="1:32" x14ac:dyDescent="0.3">
      <c r="A89" t="s">
        <v>30</v>
      </c>
      <c r="B89">
        <v>2015</v>
      </c>
      <c r="C89" t="s">
        <v>38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0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F89">
        <f t="shared" si="1"/>
        <v>-0.4029008863819501</v>
      </c>
    </row>
    <row r="90" spans="1:32" x14ac:dyDescent="0.3">
      <c r="A90" t="s">
        <v>32</v>
      </c>
      <c r="B90">
        <v>2015</v>
      </c>
      <c r="C90" t="s">
        <v>38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F90">
        <f t="shared" si="1"/>
        <v>0.24271844660195097</v>
      </c>
    </row>
    <row r="91" spans="1:32" x14ac:dyDescent="0.3">
      <c r="A91" t="s">
        <v>33</v>
      </c>
      <c r="B91">
        <v>2015</v>
      </c>
      <c r="C91" t="s">
        <v>38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F91">
        <f t="shared" si="1"/>
        <v>8.0710250201771042E-2</v>
      </c>
    </row>
    <row r="92" spans="1:32" x14ac:dyDescent="0.3">
      <c r="A92" t="s">
        <v>30</v>
      </c>
      <c r="B92">
        <v>2015</v>
      </c>
      <c r="C92" t="s">
        <v>39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0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F92">
        <f t="shared" si="1"/>
        <v>-0.64516129032257841</v>
      </c>
    </row>
    <row r="93" spans="1:32" x14ac:dyDescent="0.3">
      <c r="A93" t="s">
        <v>32</v>
      </c>
      <c r="B93">
        <v>2015</v>
      </c>
      <c r="C93" t="s">
        <v>39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F93">
        <f t="shared" si="1"/>
        <v>0.40584415584415579</v>
      </c>
    </row>
    <row r="94" spans="1:32" x14ac:dyDescent="0.3">
      <c r="A94" t="s">
        <v>33</v>
      </c>
      <c r="B94">
        <v>2015</v>
      </c>
      <c r="C94" t="s">
        <v>39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F94">
        <f t="shared" si="1"/>
        <v>0.80840743734842369</v>
      </c>
    </row>
    <row r="95" spans="1:32" x14ac:dyDescent="0.3">
      <c r="A95" t="s">
        <v>30</v>
      </c>
      <c r="B95">
        <v>2015</v>
      </c>
      <c r="C95" t="s">
        <v>40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0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F95">
        <f t="shared" si="1"/>
        <v>-1.2830793905372961</v>
      </c>
    </row>
    <row r="96" spans="1:32" x14ac:dyDescent="0.3">
      <c r="A96" t="s">
        <v>32</v>
      </c>
      <c r="B96">
        <v>2015</v>
      </c>
      <c r="C96" t="s">
        <v>40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F96">
        <f t="shared" si="1"/>
        <v>0.89358245329001518</v>
      </c>
    </row>
    <row r="97" spans="1:32" x14ac:dyDescent="0.3">
      <c r="A97" t="s">
        <v>33</v>
      </c>
      <c r="B97">
        <v>2015</v>
      </c>
      <c r="C97" t="s">
        <v>40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F97">
        <f t="shared" si="1"/>
        <v>0.7246376811594134</v>
      </c>
    </row>
    <row r="98" spans="1:32" x14ac:dyDescent="0.3">
      <c r="A98" t="s">
        <v>30</v>
      </c>
      <c r="B98">
        <v>2015</v>
      </c>
      <c r="C98" t="s">
        <v>41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0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F98">
        <f t="shared" si="1"/>
        <v>-1.3589128697042274</v>
      </c>
    </row>
    <row r="99" spans="1:32" x14ac:dyDescent="0.3">
      <c r="A99" t="s">
        <v>32</v>
      </c>
      <c r="B99">
        <v>2015</v>
      </c>
      <c r="C99" t="s">
        <v>41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F99">
        <f t="shared" si="1"/>
        <v>0.97244732576984483</v>
      </c>
    </row>
    <row r="100" spans="1:32" x14ac:dyDescent="0.3">
      <c r="A100" t="s">
        <v>33</v>
      </c>
      <c r="B100">
        <v>2015</v>
      </c>
      <c r="C100" t="s">
        <v>41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F100">
        <f t="shared" si="1"/>
        <v>0.80256821829855551</v>
      </c>
    </row>
    <row r="101" spans="1:32" x14ac:dyDescent="0.3">
      <c r="A101" t="s">
        <v>30</v>
      </c>
      <c r="B101">
        <v>2015</v>
      </c>
      <c r="C101" t="s">
        <v>42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0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F101">
        <f t="shared" si="1"/>
        <v>-1.5923566878980893</v>
      </c>
    </row>
    <row r="102" spans="1:32" x14ac:dyDescent="0.3">
      <c r="A102" t="s">
        <v>32</v>
      </c>
      <c r="B102">
        <v>2015</v>
      </c>
      <c r="C102" t="s">
        <v>42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F102">
        <f t="shared" si="1"/>
        <v>1.1326860841423994</v>
      </c>
    </row>
    <row r="103" spans="1:32" x14ac:dyDescent="0.3">
      <c r="A103" t="s">
        <v>33</v>
      </c>
      <c r="B103">
        <v>2015</v>
      </c>
      <c r="C103" t="s">
        <v>42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F103">
        <f t="shared" si="1"/>
        <v>0.87999999999999534</v>
      </c>
    </row>
    <row r="104" spans="1:32" x14ac:dyDescent="0.3">
      <c r="A104" t="s">
        <v>30</v>
      </c>
      <c r="B104">
        <v>2015</v>
      </c>
      <c r="C104" t="s">
        <v>44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0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F104">
        <f t="shared" si="1"/>
        <v>-1.6653449643140319</v>
      </c>
    </row>
    <row r="105" spans="1:32" x14ac:dyDescent="0.3">
      <c r="A105" t="s">
        <v>32</v>
      </c>
      <c r="B105">
        <v>2015</v>
      </c>
      <c r="C105" t="s">
        <v>44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F105">
        <f t="shared" si="1"/>
        <v>1.1290322580645207</v>
      </c>
    </row>
    <row r="106" spans="1:32" x14ac:dyDescent="0.3">
      <c r="A106" t="s">
        <v>33</v>
      </c>
      <c r="B106">
        <v>2015</v>
      </c>
      <c r="C106" t="s">
        <v>44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F106">
        <f t="shared" si="1"/>
        <v>0.71770334928228985</v>
      </c>
    </row>
    <row r="107" spans="1:32" x14ac:dyDescent="0.3">
      <c r="A107" t="s">
        <v>30</v>
      </c>
      <c r="B107">
        <v>2015</v>
      </c>
      <c r="C107" t="s">
        <v>45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0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F107">
        <f t="shared" si="1"/>
        <v>-1.5835312747426764</v>
      </c>
    </row>
    <row r="108" spans="1:32" x14ac:dyDescent="0.3">
      <c r="A108" t="s">
        <v>32</v>
      </c>
      <c r="B108">
        <v>2015</v>
      </c>
      <c r="C108" t="s">
        <v>45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F108">
        <f t="shared" si="1"/>
        <v>1.1263073209975909</v>
      </c>
    </row>
    <row r="109" spans="1:32" x14ac:dyDescent="0.3">
      <c r="A109" t="s">
        <v>33</v>
      </c>
      <c r="B109">
        <v>2015</v>
      </c>
      <c r="C109" t="s">
        <v>45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F109">
        <f t="shared" si="1"/>
        <v>0.87509944311853161</v>
      </c>
    </row>
    <row r="110" spans="1:32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0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F110">
        <f t="shared" si="1"/>
        <v>-1.6561514195583553</v>
      </c>
    </row>
    <row r="111" spans="1:32" x14ac:dyDescent="0.3">
      <c r="A111" t="s">
        <v>32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F111">
        <f t="shared" si="1"/>
        <v>1.1226944667201215</v>
      </c>
    </row>
    <row r="112" spans="1:32" x14ac:dyDescent="0.3">
      <c r="A112" t="s">
        <v>33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F112">
        <f t="shared" si="1"/>
        <v>0.79302141157811257</v>
      </c>
    </row>
    <row r="113" spans="1:32" x14ac:dyDescent="0.3">
      <c r="A113" t="s">
        <v>30</v>
      </c>
      <c r="B113">
        <v>2016</v>
      </c>
      <c r="C113" t="s">
        <v>34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0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F113">
        <f t="shared" si="1"/>
        <v>-1.8095987411486998</v>
      </c>
    </row>
    <row r="114" spans="1:32" x14ac:dyDescent="0.3">
      <c r="A114" t="s">
        <v>32</v>
      </c>
      <c r="B114">
        <v>2016</v>
      </c>
      <c r="C114" t="s">
        <v>34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F114">
        <f t="shared" si="1"/>
        <v>1.282051282051289</v>
      </c>
    </row>
    <row r="115" spans="1:32" x14ac:dyDescent="0.3">
      <c r="A115" t="s">
        <v>33</v>
      </c>
      <c r="B115">
        <v>2016</v>
      </c>
      <c r="C115" t="s">
        <v>34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F115">
        <f t="shared" si="1"/>
        <v>0.71202531645568945</v>
      </c>
    </row>
    <row r="116" spans="1:32" x14ac:dyDescent="0.3">
      <c r="A116" t="s">
        <v>30</v>
      </c>
      <c r="B116">
        <v>2016</v>
      </c>
      <c r="C116" t="s">
        <v>35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0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F116">
        <f t="shared" si="1"/>
        <v>-1.9638648860958365</v>
      </c>
    </row>
    <row r="117" spans="1:32" x14ac:dyDescent="0.3">
      <c r="A117" t="s">
        <v>32</v>
      </c>
      <c r="B117">
        <v>2016</v>
      </c>
      <c r="C117" t="s">
        <v>35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F117">
        <f t="shared" si="1"/>
        <v>1.3621794871794894</v>
      </c>
    </row>
    <row r="118" spans="1:32" x14ac:dyDescent="0.3">
      <c r="A118" t="s">
        <v>33</v>
      </c>
      <c r="B118">
        <v>2016</v>
      </c>
      <c r="C118" t="s">
        <v>35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  <c r="AF118">
        <f t="shared" si="1"/>
        <v>0.71146245059288982</v>
      </c>
    </row>
    <row r="119" spans="1:32" x14ac:dyDescent="0.3">
      <c r="A119" t="s">
        <v>30</v>
      </c>
      <c r="B119">
        <v>2016</v>
      </c>
      <c r="C119" t="s">
        <v>36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0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  <c r="AF119">
        <f t="shared" si="1"/>
        <v>-1.9623233908948194</v>
      </c>
    </row>
    <row r="120" spans="1:32" x14ac:dyDescent="0.3">
      <c r="A120" t="s">
        <v>32</v>
      </c>
      <c r="B120">
        <v>2016</v>
      </c>
      <c r="C120" t="s">
        <v>36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  <c r="AF120">
        <f t="shared" si="1"/>
        <v>1.3610888710968683</v>
      </c>
    </row>
    <row r="121" spans="1:32" x14ac:dyDescent="0.3">
      <c r="A121" t="s">
        <v>33</v>
      </c>
      <c r="B121">
        <v>2016</v>
      </c>
      <c r="C121" t="s">
        <v>36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  <c r="AF121">
        <f t="shared" si="1"/>
        <v>0.78988941548183267</v>
      </c>
    </row>
    <row r="122" spans="1:32" x14ac:dyDescent="0.3">
      <c r="A122" t="s">
        <v>30</v>
      </c>
      <c r="B122">
        <v>2016</v>
      </c>
      <c r="C122" t="s">
        <v>37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0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  <c r="AF122">
        <f t="shared" si="1"/>
        <v>-2.0376175548589299</v>
      </c>
    </row>
    <row r="123" spans="1:32" x14ac:dyDescent="0.3">
      <c r="A123" t="s">
        <v>32</v>
      </c>
      <c r="B123">
        <v>2016</v>
      </c>
      <c r="C123" t="s">
        <v>37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  <c r="AF123">
        <f t="shared" si="1"/>
        <v>1.4399999999999977</v>
      </c>
    </row>
    <row r="124" spans="1:32" x14ac:dyDescent="0.3">
      <c r="A124" t="s">
        <v>33</v>
      </c>
      <c r="B124">
        <v>2016</v>
      </c>
      <c r="C124" t="s">
        <v>37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  <c r="AF124">
        <f t="shared" si="1"/>
        <v>1.4195583596214489</v>
      </c>
    </row>
    <row r="125" spans="1:32" x14ac:dyDescent="0.3">
      <c r="A125" t="s">
        <v>30</v>
      </c>
      <c r="B125">
        <v>2016</v>
      </c>
      <c r="C125" t="s">
        <v>38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0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  <c r="AF125">
        <f t="shared" si="1"/>
        <v>-2.0995334370139882</v>
      </c>
    </row>
    <row r="126" spans="1:32" x14ac:dyDescent="0.3">
      <c r="A126" t="s">
        <v>32</v>
      </c>
      <c r="B126">
        <v>2016</v>
      </c>
      <c r="C126" t="s">
        <v>38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  <c r="AF126">
        <f t="shared" si="1"/>
        <v>1.4297061159650493</v>
      </c>
    </row>
    <row r="127" spans="1:32" x14ac:dyDescent="0.3">
      <c r="A127" t="s">
        <v>33</v>
      </c>
      <c r="B127">
        <v>2016</v>
      </c>
      <c r="C127" t="s">
        <v>38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  <c r="AF127">
        <f t="shared" si="1"/>
        <v>1.2529365700861459</v>
      </c>
    </row>
    <row r="128" spans="1:32" x14ac:dyDescent="0.3">
      <c r="A128" t="s">
        <v>30</v>
      </c>
      <c r="B128">
        <v>2016</v>
      </c>
      <c r="C128" t="s">
        <v>39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0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  <c r="AF128">
        <f t="shared" si="1"/>
        <v>-1.9334880123743341</v>
      </c>
    </row>
    <row r="129" spans="1:32" x14ac:dyDescent="0.3">
      <c r="A129" t="s">
        <v>32</v>
      </c>
      <c r="B129">
        <v>2016</v>
      </c>
      <c r="C129" t="s">
        <v>39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  <c r="AF129">
        <f t="shared" si="1"/>
        <v>1.3406940063091506</v>
      </c>
    </row>
    <row r="130" spans="1:32" x14ac:dyDescent="0.3">
      <c r="A130" t="s">
        <v>33</v>
      </c>
      <c r="B130">
        <v>2016</v>
      </c>
      <c r="C130" t="s">
        <v>39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  <c r="AF130">
        <f t="shared" ref="AF130:AF193" si="2">(D131-D130)/D130*100</f>
        <v>1.2451361867704236</v>
      </c>
    </row>
    <row r="131" spans="1:32" x14ac:dyDescent="0.3">
      <c r="A131" t="s">
        <v>30</v>
      </c>
      <c r="B131">
        <v>2016</v>
      </c>
      <c r="C131" t="s">
        <v>40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0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  <c r="AF131">
        <f t="shared" si="2"/>
        <v>-1.9215987701767874</v>
      </c>
    </row>
    <row r="132" spans="1:32" x14ac:dyDescent="0.3">
      <c r="A132" t="s">
        <v>32</v>
      </c>
      <c r="B132">
        <v>2016</v>
      </c>
      <c r="C132" t="s">
        <v>40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  <c r="AF132">
        <f t="shared" si="2"/>
        <v>1.3322884012539318</v>
      </c>
    </row>
    <row r="133" spans="1:32" x14ac:dyDescent="0.3">
      <c r="A133" t="s">
        <v>33</v>
      </c>
      <c r="B133">
        <v>2016</v>
      </c>
      <c r="C133" t="s">
        <v>40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  <c r="AF133">
        <f t="shared" si="2"/>
        <v>1.160092807424594</v>
      </c>
    </row>
    <row r="134" spans="1:32" x14ac:dyDescent="0.3">
      <c r="A134" t="s">
        <v>30</v>
      </c>
      <c r="B134">
        <v>2016</v>
      </c>
      <c r="C134" t="s">
        <v>41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0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  <c r="AF134">
        <f t="shared" si="2"/>
        <v>-2.0642201834862517</v>
      </c>
    </row>
    <row r="135" spans="1:32" x14ac:dyDescent="0.3">
      <c r="A135" t="s">
        <v>32</v>
      </c>
      <c r="B135">
        <v>2016</v>
      </c>
      <c r="C135" t="s">
        <v>41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  <c r="AF135">
        <f t="shared" si="2"/>
        <v>1.4051522248243651</v>
      </c>
    </row>
    <row r="136" spans="1:32" x14ac:dyDescent="0.3">
      <c r="A136" t="s">
        <v>33</v>
      </c>
      <c r="B136">
        <v>2016</v>
      </c>
      <c r="C136" t="s">
        <v>41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  <c r="AF136">
        <f t="shared" si="2"/>
        <v>1.0777521170130913</v>
      </c>
    </row>
    <row r="137" spans="1:32" x14ac:dyDescent="0.3">
      <c r="A137" t="s">
        <v>30</v>
      </c>
      <c r="B137">
        <v>2016</v>
      </c>
      <c r="C137" t="s">
        <v>42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0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  <c r="AF137">
        <f t="shared" si="2"/>
        <v>-1.9801980198019973</v>
      </c>
    </row>
    <row r="138" spans="1:32" x14ac:dyDescent="0.3">
      <c r="A138" t="s">
        <v>32</v>
      </c>
      <c r="B138">
        <v>2016</v>
      </c>
      <c r="C138" t="s">
        <v>42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  <c r="AF138">
        <f t="shared" si="2"/>
        <v>1.3986013986014076</v>
      </c>
    </row>
    <row r="139" spans="1:32" x14ac:dyDescent="0.3">
      <c r="A139" t="s">
        <v>33</v>
      </c>
      <c r="B139">
        <v>2016</v>
      </c>
      <c r="C139" t="s">
        <v>42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  <c r="AF139">
        <f t="shared" si="2"/>
        <v>1.1494252873563218</v>
      </c>
    </row>
    <row r="140" spans="1:32" x14ac:dyDescent="0.3">
      <c r="A140" t="s">
        <v>30</v>
      </c>
      <c r="B140">
        <v>2016</v>
      </c>
      <c r="C140" t="s">
        <v>44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0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  <c r="AF140">
        <f t="shared" si="2"/>
        <v>-1.3636363636363722</v>
      </c>
    </row>
    <row r="141" spans="1:32" x14ac:dyDescent="0.3">
      <c r="A141" t="s">
        <v>32</v>
      </c>
      <c r="B141">
        <v>2016</v>
      </c>
      <c r="C141" t="s">
        <v>44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  <c r="AF141">
        <f t="shared" si="2"/>
        <v>0.92165898617512843</v>
      </c>
    </row>
    <row r="142" spans="1:32" x14ac:dyDescent="0.3">
      <c r="A142" t="s">
        <v>33</v>
      </c>
      <c r="B142">
        <v>2016</v>
      </c>
      <c r="C142" t="s">
        <v>44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  <c r="AF142">
        <f t="shared" si="2"/>
        <v>0.91324200913241138</v>
      </c>
    </row>
    <row r="143" spans="1:32" x14ac:dyDescent="0.3">
      <c r="A143" t="s">
        <v>30</v>
      </c>
      <c r="B143">
        <v>2016</v>
      </c>
      <c r="C143" t="s">
        <v>45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0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  <c r="AF143">
        <f t="shared" si="2"/>
        <v>-0.75414781297134237</v>
      </c>
    </row>
    <row r="144" spans="1:32" x14ac:dyDescent="0.3">
      <c r="A144" t="s">
        <v>32</v>
      </c>
      <c r="B144">
        <v>2016</v>
      </c>
      <c r="C144" t="s">
        <v>45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  <c r="AF144">
        <f t="shared" si="2"/>
        <v>0.53191489361703426</v>
      </c>
    </row>
    <row r="145" spans="1:32" x14ac:dyDescent="0.3">
      <c r="A145" t="s">
        <v>33</v>
      </c>
      <c r="B145">
        <v>2016</v>
      </c>
      <c r="C145" t="s">
        <v>45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  <c r="AF145">
        <f t="shared" si="2"/>
        <v>0.6046863189720203</v>
      </c>
    </row>
    <row r="146" spans="1:32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0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  <c r="AF146">
        <f t="shared" si="2"/>
        <v>-0.67618332081142429</v>
      </c>
    </row>
    <row r="147" spans="1:32" x14ac:dyDescent="0.3">
      <c r="A147" t="s">
        <v>32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  <c r="AF147">
        <f t="shared" si="2"/>
        <v>0.45385779122543329</v>
      </c>
    </row>
    <row r="148" spans="1:32" x14ac:dyDescent="0.3">
      <c r="A148" t="s">
        <v>33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  <c r="AF148">
        <f t="shared" si="2"/>
        <v>0.37650602409638551</v>
      </c>
    </row>
    <row r="149" spans="1:32" x14ac:dyDescent="0.3">
      <c r="A149" t="s">
        <v>30</v>
      </c>
      <c r="B149">
        <v>2017</v>
      </c>
      <c r="C149" t="s">
        <v>34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0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  <c r="AF149">
        <f t="shared" si="2"/>
        <v>-0.37509377344336081</v>
      </c>
    </row>
    <row r="150" spans="1:32" x14ac:dyDescent="0.3">
      <c r="A150" t="s">
        <v>32</v>
      </c>
      <c r="B150">
        <v>2017</v>
      </c>
      <c r="C150" t="s">
        <v>34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  <c r="AF150">
        <f t="shared" si="2"/>
        <v>0.22590361445781848</v>
      </c>
    </row>
    <row r="151" spans="1:32" x14ac:dyDescent="0.3">
      <c r="A151" t="s">
        <v>33</v>
      </c>
      <c r="B151">
        <v>2017</v>
      </c>
      <c r="C151" t="s">
        <v>34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  <c r="AF151">
        <f t="shared" si="2"/>
        <v>0.37565740045078888</v>
      </c>
    </row>
    <row r="152" spans="1:32" x14ac:dyDescent="0.3">
      <c r="A152" t="s">
        <v>30</v>
      </c>
      <c r="B152">
        <v>2017</v>
      </c>
      <c r="C152" t="s">
        <v>35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0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  <c r="AF152">
        <f t="shared" si="2"/>
        <v>-0.6736526946107827</v>
      </c>
    </row>
    <row r="153" spans="1:32" x14ac:dyDescent="0.3">
      <c r="A153" t="s">
        <v>32</v>
      </c>
      <c r="B153">
        <v>2017</v>
      </c>
      <c r="C153" t="s">
        <v>35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  <c r="AF153">
        <f t="shared" si="2"/>
        <v>0.45214770158253415</v>
      </c>
    </row>
    <row r="154" spans="1:32" x14ac:dyDescent="0.3">
      <c r="A154" t="s">
        <v>33</v>
      </c>
      <c r="B154">
        <v>2017</v>
      </c>
      <c r="C154" t="s">
        <v>35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  <c r="AF154">
        <f t="shared" si="2"/>
        <v>-7.501875468868921E-2</v>
      </c>
    </row>
    <row r="155" spans="1:32" x14ac:dyDescent="0.3">
      <c r="A155" t="s">
        <v>30</v>
      </c>
      <c r="B155">
        <v>2017</v>
      </c>
      <c r="C155" t="s">
        <v>36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0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  <c r="AF155">
        <f t="shared" si="2"/>
        <v>-0.37537537537537541</v>
      </c>
    </row>
    <row r="156" spans="1:32" x14ac:dyDescent="0.3">
      <c r="A156" t="s">
        <v>32</v>
      </c>
      <c r="B156">
        <v>2017</v>
      </c>
      <c r="C156" t="s">
        <v>36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  <c r="AF156">
        <f t="shared" si="2"/>
        <v>0.22607385079126707</v>
      </c>
    </row>
    <row r="157" spans="1:32" x14ac:dyDescent="0.3">
      <c r="A157" t="s">
        <v>33</v>
      </c>
      <c r="B157">
        <v>2017</v>
      </c>
      <c r="C157" t="s">
        <v>36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  <c r="AF157">
        <f t="shared" si="2"/>
        <v>7.5187969924807752E-2</v>
      </c>
    </row>
    <row r="158" spans="1:32" x14ac:dyDescent="0.3">
      <c r="A158" t="s">
        <v>30</v>
      </c>
      <c r="B158">
        <v>2017</v>
      </c>
      <c r="C158" t="s">
        <v>37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0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  <c r="AF158">
        <f t="shared" si="2"/>
        <v>-0.37565740045078888</v>
      </c>
    </row>
    <row r="159" spans="1:32" x14ac:dyDescent="0.3">
      <c r="A159" t="s">
        <v>32</v>
      </c>
      <c r="B159">
        <v>2017</v>
      </c>
      <c r="C159" t="s">
        <v>37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  <c r="AF159">
        <f t="shared" si="2"/>
        <v>0.22624434389141129</v>
      </c>
    </row>
    <row r="160" spans="1:32" x14ac:dyDescent="0.3">
      <c r="A160" t="s">
        <v>33</v>
      </c>
      <c r="B160">
        <v>2017</v>
      </c>
      <c r="C160" t="s">
        <v>37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  <c r="AF160">
        <f t="shared" si="2"/>
        <v>0.45146726862302056</v>
      </c>
    </row>
    <row r="161" spans="1:32" x14ac:dyDescent="0.3">
      <c r="A161" t="s">
        <v>30</v>
      </c>
      <c r="B161">
        <v>2017</v>
      </c>
      <c r="C161" t="s">
        <v>38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0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  <c r="AF161">
        <f t="shared" si="2"/>
        <v>-0.44943820224718672</v>
      </c>
    </row>
    <row r="162" spans="1:32" x14ac:dyDescent="0.3">
      <c r="A162" t="s">
        <v>32</v>
      </c>
      <c r="B162">
        <v>2017</v>
      </c>
      <c r="C162" t="s">
        <v>38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  <c r="AF162">
        <f t="shared" si="2"/>
        <v>0.30097817908202085</v>
      </c>
    </row>
    <row r="163" spans="1:32" x14ac:dyDescent="0.3">
      <c r="A163" t="s">
        <v>33</v>
      </c>
      <c r="B163">
        <v>2017</v>
      </c>
      <c r="C163" t="s">
        <v>38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  <c r="AF163">
        <f t="shared" si="2"/>
        <v>0.52513128282069654</v>
      </c>
    </row>
    <row r="164" spans="1:32" x14ac:dyDescent="0.3">
      <c r="A164" t="s">
        <v>30</v>
      </c>
      <c r="B164">
        <v>2017</v>
      </c>
      <c r="C164" t="s">
        <v>39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0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  <c r="AF164">
        <f t="shared" si="2"/>
        <v>-0.89552238805969309</v>
      </c>
    </row>
    <row r="165" spans="1:32" x14ac:dyDescent="0.3">
      <c r="A165" t="s">
        <v>32</v>
      </c>
      <c r="B165">
        <v>2017</v>
      </c>
      <c r="C165" t="s">
        <v>39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  <c r="AF165">
        <f t="shared" si="2"/>
        <v>0.60240963855420393</v>
      </c>
    </row>
    <row r="166" spans="1:32" x14ac:dyDescent="0.3">
      <c r="A166" t="s">
        <v>33</v>
      </c>
      <c r="B166">
        <v>2017</v>
      </c>
      <c r="C166" t="s">
        <v>39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  <c r="AF166">
        <f t="shared" si="2"/>
        <v>0.89820359281438411</v>
      </c>
    </row>
    <row r="167" spans="1:32" x14ac:dyDescent="0.3">
      <c r="A167" t="s">
        <v>30</v>
      </c>
      <c r="B167">
        <v>2017</v>
      </c>
      <c r="C167" t="s">
        <v>40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0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  <c r="AF167">
        <f t="shared" si="2"/>
        <v>-1.1869436201780583</v>
      </c>
    </row>
    <row r="168" spans="1:32" x14ac:dyDescent="0.3">
      <c r="A168" t="s">
        <v>32</v>
      </c>
      <c r="B168">
        <v>2017</v>
      </c>
      <c r="C168" t="s">
        <v>40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  <c r="AF168">
        <f t="shared" si="2"/>
        <v>0.82582582582584296</v>
      </c>
    </row>
    <row r="169" spans="1:32" x14ac:dyDescent="0.3">
      <c r="A169" t="s">
        <v>33</v>
      </c>
      <c r="B169">
        <v>2017</v>
      </c>
      <c r="C169" t="s">
        <v>40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  <c r="AF169">
        <f t="shared" si="2"/>
        <v>0.6701414743112265</v>
      </c>
    </row>
    <row r="170" spans="1:32" x14ac:dyDescent="0.3">
      <c r="A170" t="s">
        <v>30</v>
      </c>
      <c r="B170">
        <v>2017</v>
      </c>
      <c r="C170" t="s">
        <v>41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0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  <c r="AF170">
        <f t="shared" si="2"/>
        <v>-1.1834319526627177</v>
      </c>
    </row>
    <row r="171" spans="1:32" x14ac:dyDescent="0.3">
      <c r="A171" t="s">
        <v>32</v>
      </c>
      <c r="B171">
        <v>2017</v>
      </c>
      <c r="C171" t="s">
        <v>41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  <c r="AF171">
        <f t="shared" si="2"/>
        <v>0.82335329341316943</v>
      </c>
    </row>
    <row r="172" spans="1:32" x14ac:dyDescent="0.3">
      <c r="A172" t="s">
        <v>33</v>
      </c>
      <c r="B172">
        <v>2017</v>
      </c>
      <c r="C172" t="s">
        <v>41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  <c r="AF172">
        <f t="shared" si="2"/>
        <v>0.89086859688197273</v>
      </c>
    </row>
    <row r="173" spans="1:32" x14ac:dyDescent="0.3">
      <c r="A173" t="s">
        <v>30</v>
      </c>
      <c r="B173">
        <v>2017</v>
      </c>
      <c r="C173" t="s">
        <v>42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0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  <c r="AF173">
        <f t="shared" si="2"/>
        <v>-1.4716703458425313</v>
      </c>
    </row>
    <row r="174" spans="1:32" x14ac:dyDescent="0.3">
      <c r="A174" t="s">
        <v>32</v>
      </c>
      <c r="B174">
        <v>2017</v>
      </c>
      <c r="C174" t="s">
        <v>42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  <c r="AF174">
        <f t="shared" si="2"/>
        <v>1.0455563853622147</v>
      </c>
    </row>
    <row r="175" spans="1:32" x14ac:dyDescent="0.3">
      <c r="A175" t="s">
        <v>33</v>
      </c>
      <c r="B175">
        <v>2017</v>
      </c>
      <c r="C175" t="s">
        <v>42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  <c r="AF175">
        <f t="shared" si="2"/>
        <v>0.73909830007390975</v>
      </c>
    </row>
    <row r="176" spans="1:32" x14ac:dyDescent="0.3">
      <c r="A176" t="s">
        <v>30</v>
      </c>
      <c r="B176">
        <v>2017</v>
      </c>
      <c r="C176" t="s">
        <v>44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0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  <c r="AF176">
        <f t="shared" si="2"/>
        <v>-1.467351430667645</v>
      </c>
    </row>
    <row r="177" spans="1:32" x14ac:dyDescent="0.3">
      <c r="A177" t="s">
        <v>32</v>
      </c>
      <c r="B177">
        <v>2017</v>
      </c>
      <c r="C177" t="s">
        <v>44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  <c r="AF177">
        <f t="shared" si="2"/>
        <v>1.0424422933730284</v>
      </c>
    </row>
    <row r="178" spans="1:32" x14ac:dyDescent="0.3">
      <c r="A178" t="s">
        <v>33</v>
      </c>
      <c r="B178">
        <v>2017</v>
      </c>
      <c r="C178" t="s">
        <v>44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  <c r="AF178">
        <f t="shared" si="2"/>
        <v>0.51584377302875251</v>
      </c>
    </row>
    <row r="179" spans="1:32" x14ac:dyDescent="0.3">
      <c r="A179" t="s">
        <v>30</v>
      </c>
      <c r="B179">
        <v>2017</v>
      </c>
      <c r="C179" t="s">
        <v>45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0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  <c r="AF179">
        <f t="shared" si="2"/>
        <v>-1.4662756598240467</v>
      </c>
    </row>
    <row r="180" spans="1:32" x14ac:dyDescent="0.3">
      <c r="A180" t="s">
        <v>32</v>
      </c>
      <c r="B180">
        <v>2017</v>
      </c>
      <c r="C180" t="s">
        <v>45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  <c r="AF180">
        <f t="shared" si="2"/>
        <v>1.0416666666666707</v>
      </c>
    </row>
    <row r="181" spans="1:32" x14ac:dyDescent="0.3">
      <c r="A181" t="s">
        <v>33</v>
      </c>
      <c r="B181">
        <v>2017</v>
      </c>
      <c r="C181" t="s">
        <v>45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  <c r="AF181">
        <f t="shared" si="2"/>
        <v>0.58910162002944244</v>
      </c>
    </row>
    <row r="182" spans="1:32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0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  <c r="AF182">
        <f t="shared" si="2"/>
        <v>-1.4641288433382138</v>
      </c>
    </row>
    <row r="183" spans="1:32" x14ac:dyDescent="0.3">
      <c r="A183" t="s">
        <v>32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  <c r="AF183">
        <f t="shared" si="2"/>
        <v>1.0401188707280875</v>
      </c>
    </row>
    <row r="184" spans="1:32" x14ac:dyDescent="0.3">
      <c r="A184" t="s">
        <v>33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  <c r="AF184">
        <f t="shared" si="2"/>
        <v>0.2941176470588277</v>
      </c>
    </row>
    <row r="185" spans="1:32" x14ac:dyDescent="0.3">
      <c r="A185" t="s">
        <v>30</v>
      </c>
      <c r="B185">
        <v>2018</v>
      </c>
      <c r="C185" t="s">
        <v>34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0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  <c r="AF185">
        <f t="shared" si="2"/>
        <v>-1.1730205278592334</v>
      </c>
    </row>
    <row r="186" spans="1:32" x14ac:dyDescent="0.3">
      <c r="A186" t="s">
        <v>32</v>
      </c>
      <c r="B186">
        <v>2018</v>
      </c>
      <c r="C186" t="s">
        <v>34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  <c r="AF186">
        <f t="shared" si="2"/>
        <v>0.81602373887239932</v>
      </c>
    </row>
    <row r="187" spans="1:32" x14ac:dyDescent="0.3">
      <c r="A187" t="s">
        <v>33</v>
      </c>
      <c r="B187">
        <v>2018</v>
      </c>
      <c r="C187" t="s">
        <v>34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  <c r="AF187">
        <f t="shared" si="2"/>
        <v>0.66225165562914323</v>
      </c>
    </row>
    <row r="188" spans="1:32" x14ac:dyDescent="0.3">
      <c r="A188" t="s">
        <v>30</v>
      </c>
      <c r="B188">
        <v>2018</v>
      </c>
      <c r="C188" t="s">
        <v>35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0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  <c r="AF188">
        <f t="shared" si="2"/>
        <v>-1.3157894736842188</v>
      </c>
    </row>
    <row r="189" spans="1:32" x14ac:dyDescent="0.3">
      <c r="A189" t="s">
        <v>32</v>
      </c>
      <c r="B189">
        <v>2018</v>
      </c>
      <c r="C189" t="s">
        <v>35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  <c r="AF189">
        <f t="shared" si="2"/>
        <v>0.8888888888888804</v>
      </c>
    </row>
    <row r="190" spans="1:32" x14ac:dyDescent="0.3">
      <c r="A190" t="s">
        <v>33</v>
      </c>
      <c r="B190">
        <v>2018</v>
      </c>
      <c r="C190" t="s">
        <v>35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  <c r="AF190">
        <f t="shared" si="2"/>
        <v>0.66079295154185447</v>
      </c>
    </row>
    <row r="191" spans="1:32" x14ac:dyDescent="0.3">
      <c r="A191" t="s">
        <v>30</v>
      </c>
      <c r="B191">
        <v>2018</v>
      </c>
      <c r="C191" t="s">
        <v>36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0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  <c r="AF191">
        <f t="shared" si="2"/>
        <v>-1.5317286652078734</v>
      </c>
    </row>
    <row r="192" spans="1:32" x14ac:dyDescent="0.3">
      <c r="A192" t="s">
        <v>32</v>
      </c>
      <c r="B192">
        <v>2018</v>
      </c>
      <c r="C192" t="s">
        <v>36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  <c r="AF192">
        <f t="shared" si="2"/>
        <v>1.0370370370370412</v>
      </c>
    </row>
    <row r="193" spans="1:32" x14ac:dyDescent="0.3">
      <c r="A193" t="s">
        <v>33</v>
      </c>
      <c r="B193">
        <v>2018</v>
      </c>
      <c r="C193" t="s">
        <v>36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  <c r="AF193">
        <f t="shared" si="2"/>
        <v>0.73313782991202336</v>
      </c>
    </row>
    <row r="194" spans="1:32" x14ac:dyDescent="0.3">
      <c r="A194" t="s">
        <v>30</v>
      </c>
      <c r="B194">
        <v>2018</v>
      </c>
      <c r="C194" t="s">
        <v>37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0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  <c r="AF194">
        <f t="shared" ref="AF194:AF257" si="3">(D195-D194)/D194*100</f>
        <v>-1.7467248908296984</v>
      </c>
    </row>
    <row r="195" spans="1:32" x14ac:dyDescent="0.3">
      <c r="A195" t="s">
        <v>32</v>
      </c>
      <c r="B195">
        <v>2018</v>
      </c>
      <c r="C195" t="s">
        <v>37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  <c r="AF195">
        <f t="shared" si="3"/>
        <v>1.1851851851851809</v>
      </c>
    </row>
    <row r="196" spans="1:32" x14ac:dyDescent="0.3">
      <c r="A196" t="s">
        <v>33</v>
      </c>
      <c r="B196">
        <v>2018</v>
      </c>
      <c r="C196" t="s">
        <v>37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  <c r="AF196">
        <f t="shared" si="3"/>
        <v>0.7320644216691069</v>
      </c>
    </row>
    <row r="197" spans="1:32" x14ac:dyDescent="0.3">
      <c r="A197" t="s">
        <v>30</v>
      </c>
      <c r="B197">
        <v>2018</v>
      </c>
      <c r="C197" t="s">
        <v>38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0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  <c r="AF197">
        <f t="shared" si="3"/>
        <v>-1.6715116279069644</v>
      </c>
    </row>
    <row r="198" spans="1:32" x14ac:dyDescent="0.3">
      <c r="A198" t="s">
        <v>32</v>
      </c>
      <c r="B198">
        <v>2018</v>
      </c>
      <c r="C198" t="s">
        <v>38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  <c r="AF198">
        <f t="shared" si="3"/>
        <v>1.1825572801182513</v>
      </c>
    </row>
    <row r="199" spans="1:32" x14ac:dyDescent="0.3">
      <c r="A199" t="s">
        <v>33</v>
      </c>
      <c r="B199">
        <v>2018</v>
      </c>
      <c r="C199" t="s">
        <v>38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  <c r="AF199">
        <f t="shared" si="3"/>
        <v>1.0956902848794741</v>
      </c>
    </row>
    <row r="200" spans="1:32" x14ac:dyDescent="0.3">
      <c r="A200" t="s">
        <v>30</v>
      </c>
      <c r="B200">
        <v>2018</v>
      </c>
      <c r="C200" t="s">
        <v>39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0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  <c r="AF200">
        <f t="shared" si="3"/>
        <v>-2.0231213872832452</v>
      </c>
    </row>
    <row r="201" spans="1:32" x14ac:dyDescent="0.3">
      <c r="A201" t="s">
        <v>32</v>
      </c>
      <c r="B201">
        <v>2018</v>
      </c>
      <c r="C201" t="s">
        <v>39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  <c r="AF201">
        <f t="shared" si="3"/>
        <v>1.4011799410029542</v>
      </c>
    </row>
    <row r="202" spans="1:32" x14ac:dyDescent="0.3">
      <c r="A202" t="s">
        <v>33</v>
      </c>
      <c r="B202">
        <v>2018</v>
      </c>
      <c r="C202" t="s">
        <v>39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  <c r="AF202">
        <f t="shared" si="3"/>
        <v>1.2363636363636281</v>
      </c>
    </row>
    <row r="203" spans="1:32" x14ac:dyDescent="0.3">
      <c r="A203" t="s">
        <v>30</v>
      </c>
      <c r="B203">
        <v>2018</v>
      </c>
      <c r="C203" t="s">
        <v>40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0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  <c r="AF203">
        <f t="shared" si="3"/>
        <v>-1.9396551724137852</v>
      </c>
    </row>
    <row r="204" spans="1:32" x14ac:dyDescent="0.3">
      <c r="A204" t="s">
        <v>32</v>
      </c>
      <c r="B204">
        <v>2018</v>
      </c>
      <c r="C204" t="s">
        <v>40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  <c r="AF204">
        <f t="shared" si="3"/>
        <v>1.3186813186813271</v>
      </c>
    </row>
    <row r="205" spans="1:32" x14ac:dyDescent="0.3">
      <c r="A205" t="s">
        <v>33</v>
      </c>
      <c r="B205">
        <v>2018</v>
      </c>
      <c r="C205" t="s">
        <v>40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  <c r="AF205">
        <f t="shared" si="3"/>
        <v>0.7953723788864745</v>
      </c>
    </row>
    <row r="206" spans="1:32" x14ac:dyDescent="0.3">
      <c r="A206" t="s">
        <v>30</v>
      </c>
      <c r="B206">
        <v>2018</v>
      </c>
      <c r="C206" t="s">
        <v>41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0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  <c r="AF206">
        <f t="shared" si="3"/>
        <v>-1.7216642754662881</v>
      </c>
    </row>
    <row r="207" spans="1:32" x14ac:dyDescent="0.3">
      <c r="A207" t="s">
        <v>32</v>
      </c>
      <c r="B207">
        <v>2018</v>
      </c>
      <c r="C207" t="s">
        <v>41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  <c r="AF207">
        <f t="shared" si="3"/>
        <v>1.167883211678828</v>
      </c>
    </row>
    <row r="208" spans="1:32" x14ac:dyDescent="0.3">
      <c r="A208" t="s">
        <v>33</v>
      </c>
      <c r="B208">
        <v>2018</v>
      </c>
      <c r="C208" t="s">
        <v>41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  <c r="AF208">
        <f t="shared" si="3"/>
        <v>0.50505050505051741</v>
      </c>
    </row>
    <row r="209" spans="1:32" x14ac:dyDescent="0.3">
      <c r="A209" t="s">
        <v>30</v>
      </c>
      <c r="B209">
        <v>2018</v>
      </c>
      <c r="C209" t="s">
        <v>42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0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  <c r="AF209">
        <f t="shared" si="3"/>
        <v>-1.2203876525484687</v>
      </c>
    </row>
    <row r="210" spans="1:32" x14ac:dyDescent="0.3">
      <c r="A210" t="s">
        <v>32</v>
      </c>
      <c r="B210">
        <v>2018</v>
      </c>
      <c r="C210" t="s">
        <v>42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  <c r="AF210">
        <f t="shared" si="3"/>
        <v>-0.14534883720929406</v>
      </c>
    </row>
    <row r="211" spans="1:32" x14ac:dyDescent="0.3">
      <c r="A211" t="s">
        <v>33</v>
      </c>
      <c r="B211">
        <v>2018</v>
      </c>
      <c r="C211" t="s">
        <v>42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  <c r="AF211">
        <f t="shared" si="3"/>
        <v>-0.21834061135372007</v>
      </c>
    </row>
    <row r="212" spans="1:32" x14ac:dyDescent="0.3">
      <c r="A212" t="s">
        <v>30</v>
      </c>
      <c r="B212">
        <v>2018</v>
      </c>
      <c r="C212" t="s">
        <v>44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0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  <c r="AF212">
        <f t="shared" si="3"/>
        <v>0.7293946024799417</v>
      </c>
    </row>
    <row r="213" spans="1:32" x14ac:dyDescent="0.3">
      <c r="A213" t="s">
        <v>32</v>
      </c>
      <c r="B213">
        <v>2018</v>
      </c>
      <c r="C213" t="s">
        <v>44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  <c r="AF213">
        <f t="shared" si="3"/>
        <v>-0.50687907313540093</v>
      </c>
    </row>
    <row r="214" spans="1:32" x14ac:dyDescent="0.3">
      <c r="A214" t="s">
        <v>33</v>
      </c>
      <c r="B214">
        <v>2018</v>
      </c>
      <c r="C214" t="s">
        <v>44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  <c r="AF214">
        <f t="shared" si="3"/>
        <v>-0.21834061135372007</v>
      </c>
    </row>
    <row r="215" spans="1:32" x14ac:dyDescent="0.3">
      <c r="A215" t="s">
        <v>30</v>
      </c>
      <c r="B215">
        <v>2018</v>
      </c>
      <c r="C215" t="s">
        <v>45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0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  <c r="AF215">
        <f t="shared" si="3"/>
        <v>1.0211524434719226</v>
      </c>
    </row>
    <row r="216" spans="1:32" x14ac:dyDescent="0.3">
      <c r="A216" t="s">
        <v>32</v>
      </c>
      <c r="B216">
        <v>2018</v>
      </c>
      <c r="C216" t="s">
        <v>45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  <c r="AF216">
        <f t="shared" si="3"/>
        <v>-0.72202166064981954</v>
      </c>
    </row>
    <row r="217" spans="1:32" x14ac:dyDescent="0.3">
      <c r="A217" t="s">
        <v>33</v>
      </c>
      <c r="B217">
        <v>2018</v>
      </c>
      <c r="C217" t="s">
        <v>45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  <c r="AF217">
        <f t="shared" si="3"/>
        <v>-0.65454545454545865</v>
      </c>
    </row>
    <row r="218" spans="1:32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0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  <c r="AF218">
        <f t="shared" si="3"/>
        <v>1.2445095168374942</v>
      </c>
    </row>
    <row r="219" spans="1:32" x14ac:dyDescent="0.3">
      <c r="A219" t="s">
        <v>32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  <c r="AF219">
        <f t="shared" si="3"/>
        <v>-0.8676789587852618</v>
      </c>
    </row>
    <row r="220" spans="1:32" x14ac:dyDescent="0.3">
      <c r="A220" t="s">
        <v>33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  <c r="AF220">
        <f t="shared" si="3"/>
        <v>-0.21881838074397009</v>
      </c>
    </row>
    <row r="221" spans="1:32" x14ac:dyDescent="0.3">
      <c r="A221" t="s">
        <v>30</v>
      </c>
      <c r="B221">
        <v>2019</v>
      </c>
      <c r="C221" t="s">
        <v>34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0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  <c r="AF221">
        <f t="shared" si="3"/>
        <v>1.9005847953216333</v>
      </c>
    </row>
    <row r="222" spans="1:32" x14ac:dyDescent="0.3">
      <c r="A222" t="s">
        <v>32</v>
      </c>
      <c r="B222">
        <v>2019</v>
      </c>
      <c r="C222" t="s">
        <v>34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  <c r="AF222">
        <f t="shared" si="3"/>
        <v>-1.2912482065997213</v>
      </c>
    </row>
    <row r="223" spans="1:32" x14ac:dyDescent="0.3">
      <c r="A223" t="s">
        <v>33</v>
      </c>
      <c r="B223">
        <v>2019</v>
      </c>
      <c r="C223" t="s">
        <v>34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  <c r="AF223">
        <f t="shared" si="3"/>
        <v>-0.50872093023254994</v>
      </c>
    </row>
    <row r="224" spans="1:32" x14ac:dyDescent="0.3">
      <c r="A224" t="s">
        <v>30</v>
      </c>
      <c r="B224">
        <v>2019</v>
      </c>
      <c r="C224" t="s">
        <v>35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0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  <c r="AF224">
        <f t="shared" si="3"/>
        <v>2.0452885317750056</v>
      </c>
    </row>
    <row r="225" spans="1:32" x14ac:dyDescent="0.3">
      <c r="A225" t="s">
        <v>32</v>
      </c>
      <c r="B225">
        <v>2019</v>
      </c>
      <c r="C225" t="s">
        <v>35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  <c r="AF225">
        <f t="shared" si="3"/>
        <v>-1.3600572655690604</v>
      </c>
    </row>
    <row r="226" spans="1:32" x14ac:dyDescent="0.3">
      <c r="A226" t="s">
        <v>33</v>
      </c>
      <c r="B226">
        <v>2019</v>
      </c>
      <c r="C226" t="s">
        <v>35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  <c r="AF226">
        <f t="shared" si="3"/>
        <v>-0.29027576197387928</v>
      </c>
    </row>
    <row r="227" spans="1:32" x14ac:dyDescent="0.3">
      <c r="A227" t="s">
        <v>30</v>
      </c>
      <c r="B227">
        <v>2019</v>
      </c>
      <c r="C227" t="s">
        <v>37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0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  <c r="AF227">
        <f t="shared" si="3"/>
        <v>2.1834061135371177</v>
      </c>
    </row>
    <row r="228" spans="1:32" x14ac:dyDescent="0.3">
      <c r="A228" t="s">
        <v>32</v>
      </c>
      <c r="B228">
        <v>2019</v>
      </c>
      <c r="C228" t="s">
        <v>37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  <c r="AF228">
        <f t="shared" si="3"/>
        <v>-1.4957264957264915</v>
      </c>
    </row>
    <row r="229" spans="1:32" x14ac:dyDescent="0.3">
      <c r="A229" t="s">
        <v>33</v>
      </c>
      <c r="B229">
        <v>2019</v>
      </c>
      <c r="C229" t="s">
        <v>37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  <c r="AF229">
        <f t="shared" si="3"/>
        <v>-0.36153289949385392</v>
      </c>
    </row>
    <row r="230" spans="1:32" x14ac:dyDescent="0.3">
      <c r="A230" t="s">
        <v>30</v>
      </c>
      <c r="B230">
        <v>2019</v>
      </c>
      <c r="C230" t="s">
        <v>38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0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  <c r="AF230">
        <f t="shared" si="3"/>
        <v>2.1044992743105784</v>
      </c>
    </row>
    <row r="231" spans="1:32" x14ac:dyDescent="0.3">
      <c r="A231" t="s">
        <v>32</v>
      </c>
      <c r="B231">
        <v>2019</v>
      </c>
      <c r="C231" t="s">
        <v>38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  <c r="AF231">
        <f t="shared" si="3"/>
        <v>-1.4214641080312724</v>
      </c>
    </row>
    <row r="232" spans="1:32" x14ac:dyDescent="0.3">
      <c r="A232" t="s">
        <v>33</v>
      </c>
      <c r="B232">
        <v>2019</v>
      </c>
      <c r="C232" t="s">
        <v>38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  <c r="AF232">
        <f t="shared" si="3"/>
        <v>-0.21629416005766616</v>
      </c>
    </row>
    <row r="233" spans="1:32" x14ac:dyDescent="0.3">
      <c r="A233" t="s">
        <v>30</v>
      </c>
      <c r="B233">
        <v>2019</v>
      </c>
      <c r="C233" t="s">
        <v>39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0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  <c r="AF233">
        <f t="shared" si="3"/>
        <v>2.1676300578034682</v>
      </c>
    </row>
    <row r="234" spans="1:32" x14ac:dyDescent="0.3">
      <c r="A234" t="s">
        <v>32</v>
      </c>
      <c r="B234">
        <v>2019</v>
      </c>
      <c r="C234" t="s">
        <v>39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  <c r="AF234">
        <f t="shared" si="3"/>
        <v>-1.4851485148514811</v>
      </c>
    </row>
    <row r="235" spans="1:32" x14ac:dyDescent="0.3">
      <c r="A235" t="s">
        <v>33</v>
      </c>
      <c r="B235">
        <v>2019</v>
      </c>
      <c r="C235" t="s">
        <v>39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  <c r="AF235">
        <f t="shared" si="3"/>
        <v>-7.1787508973454942E-2</v>
      </c>
    </row>
    <row r="236" spans="1:32" x14ac:dyDescent="0.3">
      <c r="A236" t="s">
        <v>30</v>
      </c>
      <c r="B236">
        <v>2019</v>
      </c>
      <c r="C236" t="s">
        <v>40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0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  <c r="AF236">
        <f t="shared" si="3"/>
        <v>2.0833333333333379</v>
      </c>
    </row>
    <row r="237" spans="1:32" x14ac:dyDescent="0.3">
      <c r="A237" t="s">
        <v>32</v>
      </c>
      <c r="B237">
        <v>2019</v>
      </c>
      <c r="C237" t="s">
        <v>40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  <c r="AF237">
        <f t="shared" si="3"/>
        <v>-1.4074595355383535</v>
      </c>
    </row>
    <row r="238" spans="1:32" x14ac:dyDescent="0.3">
      <c r="A238" t="s">
        <v>33</v>
      </c>
      <c r="B238">
        <v>2019</v>
      </c>
      <c r="C238" t="s">
        <v>40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  <c r="AF238">
        <f t="shared" si="3"/>
        <v>0</v>
      </c>
    </row>
    <row r="239" spans="1:32" x14ac:dyDescent="0.3">
      <c r="A239" t="s">
        <v>30</v>
      </c>
      <c r="B239">
        <v>2019</v>
      </c>
      <c r="C239" t="s">
        <v>41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0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  <c r="AF239">
        <f t="shared" si="3"/>
        <v>1.855817273376156</v>
      </c>
    </row>
    <row r="240" spans="1:32" x14ac:dyDescent="0.3">
      <c r="A240" t="s">
        <v>32</v>
      </c>
      <c r="B240">
        <v>2019</v>
      </c>
      <c r="C240" t="s">
        <v>41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  <c r="AF240">
        <f t="shared" si="3"/>
        <v>-1.2613875262788949</v>
      </c>
    </row>
    <row r="241" spans="1:32" x14ac:dyDescent="0.3">
      <c r="A241" t="s">
        <v>33</v>
      </c>
      <c r="B241">
        <v>2019</v>
      </c>
      <c r="C241" t="s">
        <v>41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  <c r="AF241">
        <f t="shared" si="3"/>
        <v>7.0972320794885954E-2</v>
      </c>
    </row>
    <row r="242" spans="1:32" x14ac:dyDescent="0.3">
      <c r="A242" t="s">
        <v>30</v>
      </c>
      <c r="B242">
        <v>2019</v>
      </c>
      <c r="C242" t="s">
        <v>42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0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  <c r="AF242">
        <f t="shared" si="3"/>
        <v>1.773049645390071</v>
      </c>
    </row>
    <row r="243" spans="1:32" x14ac:dyDescent="0.3">
      <c r="A243" t="s">
        <v>32</v>
      </c>
      <c r="B243">
        <v>2019</v>
      </c>
      <c r="C243" t="s">
        <v>42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  <c r="AF243">
        <f t="shared" si="3"/>
        <v>-1.1846689895470304</v>
      </c>
    </row>
    <row r="244" spans="1:32" x14ac:dyDescent="0.3">
      <c r="A244" t="s">
        <v>33</v>
      </c>
      <c r="B244">
        <v>2019</v>
      </c>
      <c r="C244" t="s">
        <v>42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  <c r="AF244">
        <f t="shared" si="3"/>
        <v>0</v>
      </c>
    </row>
    <row r="245" spans="1:32" x14ac:dyDescent="0.3">
      <c r="A245" t="s">
        <v>30</v>
      </c>
      <c r="B245">
        <v>2019</v>
      </c>
      <c r="C245" t="s">
        <v>44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0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  <c r="AF245">
        <f t="shared" si="3"/>
        <v>1.6220028208744588</v>
      </c>
    </row>
    <row r="246" spans="1:32" x14ac:dyDescent="0.3">
      <c r="A246" t="s">
        <v>32</v>
      </c>
      <c r="B246">
        <v>2019</v>
      </c>
      <c r="C246" t="s">
        <v>44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  <c r="AF246">
        <f t="shared" si="3"/>
        <v>-1.1103400416377478</v>
      </c>
    </row>
    <row r="247" spans="1:32" x14ac:dyDescent="0.3">
      <c r="A247" t="s">
        <v>33</v>
      </c>
      <c r="B247">
        <v>2019</v>
      </c>
      <c r="C247" t="s">
        <v>44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  <c r="AF247">
        <f t="shared" si="3"/>
        <v>0.21052631578948167</v>
      </c>
    </row>
    <row r="248" spans="1:32" x14ac:dyDescent="0.3">
      <c r="A248" t="s">
        <v>30</v>
      </c>
      <c r="B248">
        <v>2019</v>
      </c>
      <c r="C248" t="s">
        <v>45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0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  <c r="AF248">
        <f t="shared" si="3"/>
        <v>1.4705882352941135</v>
      </c>
    </row>
    <row r="249" spans="1:32" x14ac:dyDescent="0.3">
      <c r="A249" t="s">
        <v>32</v>
      </c>
      <c r="B249">
        <v>2019</v>
      </c>
      <c r="C249" t="s">
        <v>45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  <c r="AF249">
        <f t="shared" si="3"/>
        <v>-0.96618357487923101</v>
      </c>
    </row>
    <row r="250" spans="1:32" x14ac:dyDescent="0.3">
      <c r="A250" t="s">
        <v>33</v>
      </c>
      <c r="B250">
        <v>2019</v>
      </c>
      <c r="C250" t="s">
        <v>45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  <c r="AF250">
        <f t="shared" si="3"/>
        <v>0.13937282229964365</v>
      </c>
    </row>
    <row r="251" spans="1:32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0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  <c r="AF251">
        <f t="shared" si="3"/>
        <v>1.3221990257480905</v>
      </c>
    </row>
    <row r="252" spans="1:32" x14ac:dyDescent="0.3">
      <c r="A252" t="s">
        <v>32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  <c r="AF252">
        <f t="shared" si="3"/>
        <v>-0.89285714285713114</v>
      </c>
    </row>
    <row r="253" spans="1:32" x14ac:dyDescent="0.3">
      <c r="A253" t="s">
        <v>33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  <c r="AF253">
        <f t="shared" si="3"/>
        <v>-6.930006930008506E-2</v>
      </c>
    </row>
    <row r="254" spans="1:32" x14ac:dyDescent="0.3">
      <c r="A254" t="s">
        <v>30</v>
      </c>
      <c r="B254">
        <v>2020</v>
      </c>
      <c r="C254" t="s">
        <v>34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0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  <c r="AF254">
        <f t="shared" si="3"/>
        <v>1.3869625520110958</v>
      </c>
    </row>
    <row r="255" spans="1:32" x14ac:dyDescent="0.3">
      <c r="A255" t="s">
        <v>32</v>
      </c>
      <c r="B255">
        <v>2020</v>
      </c>
      <c r="C255" t="s">
        <v>34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  <c r="AF255">
        <f t="shared" si="3"/>
        <v>-0.95759233926127041</v>
      </c>
    </row>
    <row r="256" spans="1:32" x14ac:dyDescent="0.3">
      <c r="A256" t="s">
        <v>33</v>
      </c>
      <c r="B256">
        <v>2020</v>
      </c>
      <c r="C256" t="s">
        <v>34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  <c r="AF256">
        <f t="shared" si="3"/>
        <v>-0.27624309392265584</v>
      </c>
    </row>
    <row r="257" spans="1:32" x14ac:dyDescent="0.3">
      <c r="A257" t="s">
        <v>30</v>
      </c>
      <c r="B257">
        <v>2020</v>
      </c>
      <c r="C257" t="s">
        <v>35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0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  <c r="AF257">
        <f t="shared" si="3"/>
        <v>1.4542936288088604</v>
      </c>
    </row>
    <row r="258" spans="1:32" x14ac:dyDescent="0.3">
      <c r="A258" t="s">
        <v>32</v>
      </c>
      <c r="B258">
        <v>2020</v>
      </c>
      <c r="C258" t="s">
        <v>35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  <c r="AF258">
        <f t="shared" ref="AF258:AF321" si="4">(D259-D258)/D258*100</f>
        <v>-0.95563139931741004</v>
      </c>
    </row>
    <row r="259" spans="1:32" x14ac:dyDescent="0.3">
      <c r="A259" t="s">
        <v>33</v>
      </c>
      <c r="B259">
        <v>2020</v>
      </c>
      <c r="C259" t="s">
        <v>35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  <c r="AF259">
        <f t="shared" si="4"/>
        <v>1.4472777394900029</v>
      </c>
    </row>
    <row r="260" spans="1:32" x14ac:dyDescent="0.3">
      <c r="A260" t="s">
        <v>30</v>
      </c>
      <c r="B260">
        <v>2020</v>
      </c>
      <c r="C260" t="s">
        <v>36</v>
      </c>
      <c r="D260">
        <v>147.19999999999999</v>
      </c>
      <c r="E260">
        <v>167.3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159</v>
      </c>
      <c r="P260">
        <v>150.1</v>
      </c>
      <c r="Q260">
        <v>170</v>
      </c>
      <c r="R260">
        <v>150.6</v>
      </c>
      <c r="S260">
        <v>141.69999999999999</v>
      </c>
      <c r="T260">
        <v>149.30000000000001</v>
      </c>
      <c r="U260">
        <v>0</v>
      </c>
      <c r="V260">
        <v>148.4</v>
      </c>
      <c r="W260">
        <v>146.80000000000001</v>
      </c>
      <c r="X260">
        <v>154.30000000000001</v>
      </c>
      <c r="Y260">
        <v>131.5</v>
      </c>
      <c r="Z260">
        <v>144.6</v>
      </c>
      <c r="AA260">
        <v>157.30000000000001</v>
      </c>
      <c r="AB260">
        <v>143.1</v>
      </c>
      <c r="AC260">
        <v>144.1</v>
      </c>
      <c r="AD260">
        <v>149.6</v>
      </c>
      <c r="AF260">
        <f t="shared" si="4"/>
        <v>3.125000000000016</v>
      </c>
    </row>
    <row r="261" spans="1:32" x14ac:dyDescent="0.3">
      <c r="A261" t="s">
        <v>32</v>
      </c>
      <c r="B261">
        <v>2020</v>
      </c>
      <c r="C261" t="s">
        <v>36</v>
      </c>
      <c r="D261">
        <v>151.80000000000001</v>
      </c>
      <c r="E261">
        <v>167.4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159.1</v>
      </c>
      <c r="P261">
        <v>153.5</v>
      </c>
      <c r="Q261">
        <v>170.7</v>
      </c>
      <c r="R261">
        <v>150.1</v>
      </c>
      <c r="S261">
        <v>139.80000000000001</v>
      </c>
      <c r="T261">
        <v>148.4</v>
      </c>
      <c r="U261">
        <v>155.6</v>
      </c>
      <c r="V261">
        <v>137.1</v>
      </c>
      <c r="W261">
        <v>145.30000000000001</v>
      </c>
      <c r="X261">
        <v>144.80000000000001</v>
      </c>
      <c r="Y261">
        <v>129.80000000000001</v>
      </c>
      <c r="Z261">
        <v>142.9</v>
      </c>
      <c r="AA261">
        <v>156</v>
      </c>
      <c r="AB261">
        <v>143.69999999999999</v>
      </c>
      <c r="AC261">
        <v>142.69999999999999</v>
      </c>
      <c r="AD261">
        <v>148.9</v>
      </c>
      <c r="AF261">
        <f t="shared" si="4"/>
        <v>-2.0421607378129267</v>
      </c>
    </row>
    <row r="262" spans="1:32" x14ac:dyDescent="0.3">
      <c r="A262" t="s">
        <v>33</v>
      </c>
      <c r="B262">
        <v>2020</v>
      </c>
      <c r="C262" t="s">
        <v>36</v>
      </c>
      <c r="D262">
        <v>148.69999999999999</v>
      </c>
      <c r="E262">
        <v>167.3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159.19999999999999</v>
      </c>
      <c r="P262">
        <v>151.4</v>
      </c>
      <c r="Q262">
        <v>170.8</v>
      </c>
      <c r="R262">
        <v>150.5</v>
      </c>
      <c r="S262">
        <v>141</v>
      </c>
      <c r="T262">
        <v>149.1</v>
      </c>
      <c r="U262">
        <v>155.6</v>
      </c>
      <c r="V262">
        <v>144.1</v>
      </c>
      <c r="W262">
        <v>146.19999999999999</v>
      </c>
      <c r="X262">
        <v>150.69999999999999</v>
      </c>
      <c r="Y262">
        <v>130.30000000000001</v>
      </c>
      <c r="Z262">
        <v>143.80000000000001</v>
      </c>
      <c r="AA262">
        <f>AVERAGE(AA253:AA259)</f>
        <v>156.59999999999997</v>
      </c>
      <c r="AB262">
        <v>144</v>
      </c>
      <c r="AC262">
        <v>143.5</v>
      </c>
      <c r="AD262">
        <v>149</v>
      </c>
      <c r="AF262">
        <f t="shared" si="4"/>
        <v>-2.3537323470073974</v>
      </c>
    </row>
    <row r="263" spans="1:32" x14ac:dyDescent="0.3">
      <c r="A263" t="s">
        <v>30</v>
      </c>
      <c r="B263">
        <v>2020</v>
      </c>
      <c r="C263" t="s">
        <v>37</v>
      </c>
      <c r="D263">
        <f>AVERAGE(D251:D260)</f>
        <v>145.19999999999999</v>
      </c>
      <c r="E263">
        <v>167.3</v>
      </c>
      <c r="F263">
        <v>151.1</v>
      </c>
      <c r="G263">
        <v>151.19999999999999</v>
      </c>
      <c r="H263">
        <v>130.9</v>
      </c>
      <c r="I263">
        <v>143</v>
      </c>
      <c r="J263">
        <v>175.3</v>
      </c>
      <c r="K263">
        <v>141.5</v>
      </c>
      <c r="L263">
        <v>114.4</v>
      </c>
      <c r="M263">
        <v>152.4</v>
      </c>
      <c r="N263">
        <v>136.19999999999999</v>
      </c>
      <c r="O263">
        <v>159</v>
      </c>
      <c r="P263">
        <v>151</v>
      </c>
      <c r="Q263">
        <v>170.5</v>
      </c>
      <c r="R263">
        <v>150.4</v>
      </c>
      <c r="S263">
        <v>140.9</v>
      </c>
      <c r="T263">
        <v>149</v>
      </c>
      <c r="U263">
        <v>0</v>
      </c>
      <c r="V263">
        <v>146</v>
      </c>
      <c r="W263">
        <v>146.19999999999999</v>
      </c>
      <c r="X263">
        <v>150.5</v>
      </c>
      <c r="Y263">
        <v>130.6</v>
      </c>
      <c r="Z263">
        <v>143.80000000000001</v>
      </c>
      <c r="AA263">
        <v>156.69999999999999</v>
      </c>
      <c r="AB263">
        <v>143.5</v>
      </c>
      <c r="AC263">
        <v>143.5</v>
      </c>
      <c r="AD263">
        <v>149.19999999999999</v>
      </c>
      <c r="AF263">
        <f t="shared" si="4"/>
        <v>0.55096418732783159</v>
      </c>
    </row>
    <row r="264" spans="1:32" x14ac:dyDescent="0.3">
      <c r="A264" t="s">
        <v>32</v>
      </c>
      <c r="B264">
        <v>2020</v>
      </c>
      <c r="C264" t="s">
        <v>37</v>
      </c>
      <c r="D264">
        <v>146</v>
      </c>
      <c r="E264">
        <v>167.3</v>
      </c>
      <c r="F264">
        <v>151.1</v>
      </c>
      <c r="G264">
        <v>151.69999999999999</v>
      </c>
      <c r="H264">
        <v>130.9</v>
      </c>
      <c r="I264">
        <f>AVERAGE(I252:I261)</f>
        <v>144.1</v>
      </c>
      <c r="J264">
        <v>174.1</v>
      </c>
      <c r="K264">
        <v>142.5</v>
      </c>
      <c r="L264">
        <v>115.1</v>
      </c>
      <c r="M264">
        <f>AVERAGE(M252:M261)</f>
        <v>152.69999999999999</v>
      </c>
      <c r="N264">
        <v>135.6</v>
      </c>
      <c r="O264">
        <v>159.1</v>
      </c>
      <c r="P264">
        <v>151</v>
      </c>
      <c r="Q264">
        <v>170.7</v>
      </c>
      <c r="R264">
        <v>150.1</v>
      </c>
      <c r="S264">
        <v>140.19999999999999</v>
      </c>
      <c r="T264">
        <v>148.6</v>
      </c>
      <c r="U264">
        <v>108.2</v>
      </c>
      <c r="V264">
        <v>144.69999999999999</v>
      </c>
      <c r="W264">
        <v>145.5</v>
      </c>
      <c r="X264">
        <v>150</v>
      </c>
      <c r="Y264">
        <v>130</v>
      </c>
      <c r="Z264">
        <v>143.1</v>
      </c>
      <c r="AA264">
        <v>156.1</v>
      </c>
      <c r="AB264">
        <v>143.69999999999999</v>
      </c>
      <c r="AC264">
        <v>143</v>
      </c>
      <c r="AD264">
        <v>148.9</v>
      </c>
      <c r="AF264">
        <f t="shared" si="4"/>
        <v>0.20547945205480231</v>
      </c>
    </row>
    <row r="265" spans="1:32" x14ac:dyDescent="0.3">
      <c r="A265" t="s">
        <v>33</v>
      </c>
      <c r="B265">
        <v>2020</v>
      </c>
      <c r="C265" t="s">
        <v>37</v>
      </c>
      <c r="D265">
        <v>146.30000000000001</v>
      </c>
      <c r="E265">
        <v>167.3</v>
      </c>
      <c r="F265">
        <v>150.19999999999999</v>
      </c>
      <c r="G265">
        <v>152.30000000000001</v>
      </c>
      <c r="H265">
        <v>131.80000000000001</v>
      </c>
      <c r="I265">
        <f>AVERAGE(I253:I264)</f>
        <v>144.46666666666667</v>
      </c>
      <c r="J265">
        <v>170.2</v>
      </c>
      <c r="K265">
        <v>143.6</v>
      </c>
      <c r="L265">
        <v>115.6</v>
      </c>
      <c r="M265">
        <v>153.30000000000001</v>
      </c>
      <c r="N265">
        <v>136.19999999999999</v>
      </c>
      <c r="O265">
        <f>AVERAGE(O253:O262)</f>
        <v>159.19</v>
      </c>
      <c r="P265">
        <v>150.69999999999999</v>
      </c>
      <c r="Q265">
        <v>170.7</v>
      </c>
      <c r="R265">
        <v>150.5</v>
      </c>
      <c r="S265">
        <v>141.1</v>
      </c>
      <c r="T265">
        <v>149.1</v>
      </c>
      <c r="U265">
        <f>AVERAGE(U253:U262)</f>
        <v>108.37</v>
      </c>
      <c r="V265">
        <v>145.6</v>
      </c>
      <c r="W265">
        <v>146.19999999999999</v>
      </c>
      <c r="X265">
        <v>150.69999999999999</v>
      </c>
      <c r="Y265">
        <f>AVERAGE(Y253:Y262)</f>
        <v>130.43</v>
      </c>
      <c r="Z265">
        <v>143.9</v>
      </c>
      <c r="AA265">
        <v>156.6</v>
      </c>
      <c r="AB265">
        <v>143.9</v>
      </c>
      <c r="AC265">
        <v>143.6</v>
      </c>
      <c r="AD265">
        <v>149</v>
      </c>
      <c r="AF265">
        <f t="shared" si="4"/>
        <v>1.2987012987012829</v>
      </c>
    </row>
    <row r="266" spans="1:32" x14ac:dyDescent="0.3">
      <c r="A266" t="s">
        <v>30</v>
      </c>
      <c r="B266">
        <v>2020</v>
      </c>
      <c r="C266" t="s">
        <v>38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>
        <v>0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  <c r="AF266">
        <f t="shared" si="4"/>
        <v>3.0364372469635628</v>
      </c>
    </row>
    <row r="267" spans="1:32" x14ac:dyDescent="0.3">
      <c r="A267" t="s">
        <v>32</v>
      </c>
      <c r="B267">
        <v>2020</v>
      </c>
      <c r="C267" t="s">
        <v>38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  <c r="AF267">
        <f t="shared" si="4"/>
        <v>-2.030124426981005</v>
      </c>
    </row>
    <row r="268" spans="1:32" x14ac:dyDescent="0.3">
      <c r="A268" t="s">
        <v>33</v>
      </c>
      <c r="B268">
        <v>2020</v>
      </c>
      <c r="C268" t="s">
        <v>38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  <c r="AF268">
        <f t="shared" si="4"/>
        <v>-0.93582887700535156</v>
      </c>
    </row>
    <row r="269" spans="1:32" x14ac:dyDescent="0.3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v>0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F269">
        <f t="shared" si="4"/>
        <v>3.0364372469635628</v>
      </c>
    </row>
    <row r="270" spans="1:32" x14ac:dyDescent="0.3">
      <c r="A270" t="s">
        <v>32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F270">
        <f t="shared" si="4"/>
        <v>-2.030124426981005</v>
      </c>
    </row>
    <row r="271" spans="1:32" x14ac:dyDescent="0.3">
      <c r="A271" t="s">
        <v>33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F271">
        <f t="shared" si="4"/>
        <v>-1.3368983957219251</v>
      </c>
    </row>
    <row r="272" spans="1:32" x14ac:dyDescent="0.3">
      <c r="A272" t="s">
        <v>30</v>
      </c>
      <c r="B272">
        <v>2020</v>
      </c>
      <c r="C272" t="s">
        <v>40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>
        <v>0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  <c r="AF272">
        <f t="shared" si="4"/>
        <v>2.7100271002710028</v>
      </c>
    </row>
    <row r="273" spans="1:32" x14ac:dyDescent="0.3">
      <c r="A273" t="s">
        <v>32</v>
      </c>
      <c r="B273">
        <v>2020</v>
      </c>
      <c r="C273" t="s">
        <v>40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  <c r="AF273">
        <f t="shared" si="4"/>
        <v>-1.78100263852242</v>
      </c>
    </row>
    <row r="274" spans="1:32" x14ac:dyDescent="0.3">
      <c r="A274" t="s">
        <v>33</v>
      </c>
      <c r="B274">
        <v>2020</v>
      </c>
      <c r="C274" t="s">
        <v>40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  <c r="AF274">
        <f t="shared" si="4"/>
        <v>-1.3431833445265278</v>
      </c>
    </row>
    <row r="275" spans="1:32" x14ac:dyDescent="0.3">
      <c r="A275" t="s">
        <v>30</v>
      </c>
      <c r="B275">
        <v>2020</v>
      </c>
      <c r="C275" t="s">
        <v>41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>
        <v>0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  <c r="AF275">
        <f t="shared" si="4"/>
        <v>3.1313818924438355</v>
      </c>
    </row>
    <row r="276" spans="1:32" x14ac:dyDescent="0.3">
      <c r="A276" t="s">
        <v>32</v>
      </c>
      <c r="B276">
        <v>2020</v>
      </c>
      <c r="C276" t="s">
        <v>41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  <c r="AF276">
        <f t="shared" si="4"/>
        <v>-2.0462046204620425</v>
      </c>
    </row>
    <row r="277" spans="1:32" x14ac:dyDescent="0.3">
      <c r="A277" t="s">
        <v>33</v>
      </c>
      <c r="B277">
        <v>2020</v>
      </c>
      <c r="C277" t="s">
        <v>41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  <c r="AF277">
        <f t="shared" si="4"/>
        <v>-1.6172506738544514</v>
      </c>
    </row>
    <row r="278" spans="1:32" x14ac:dyDescent="0.3">
      <c r="A278" t="s">
        <v>30</v>
      </c>
      <c r="B278">
        <v>2020</v>
      </c>
      <c r="C278" t="s">
        <v>42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>
        <v>0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  <c r="AF278">
        <f t="shared" si="4"/>
        <v>3.1506849315068455</v>
      </c>
    </row>
    <row r="279" spans="1:32" x14ac:dyDescent="0.3">
      <c r="A279" t="s">
        <v>32</v>
      </c>
      <c r="B279">
        <v>2020</v>
      </c>
      <c r="C279" t="s">
        <v>42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  <c r="AF279">
        <f t="shared" si="4"/>
        <v>-2.0584329349269552</v>
      </c>
    </row>
    <row r="280" spans="1:32" x14ac:dyDescent="0.3">
      <c r="A280" t="s">
        <v>33</v>
      </c>
      <c r="B280">
        <v>2020</v>
      </c>
      <c r="C280" t="s">
        <v>42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  <c r="AF280">
        <f t="shared" si="4"/>
        <v>-1.4237288135593182</v>
      </c>
    </row>
    <row r="281" spans="1:32" x14ac:dyDescent="0.3">
      <c r="A281" t="s">
        <v>30</v>
      </c>
      <c r="B281">
        <v>2020</v>
      </c>
      <c r="C281" t="s">
        <v>44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>
        <v>0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  <c r="AF281">
        <f t="shared" si="4"/>
        <v>2.9573590096285991</v>
      </c>
    </row>
    <row r="282" spans="1:32" x14ac:dyDescent="0.3">
      <c r="A282" t="s">
        <v>32</v>
      </c>
      <c r="B282">
        <v>2020</v>
      </c>
      <c r="C282" t="s">
        <v>44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  <c r="AF282">
        <f t="shared" si="4"/>
        <v>-1.9372077488309805</v>
      </c>
    </row>
    <row r="283" spans="1:32" x14ac:dyDescent="0.3">
      <c r="A283" t="s">
        <v>33</v>
      </c>
      <c r="B283">
        <v>2020</v>
      </c>
      <c r="C283" t="s">
        <v>44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  <c r="AF283">
        <f t="shared" si="4"/>
        <v>-1.498637602179848</v>
      </c>
    </row>
    <row r="284" spans="1:32" x14ac:dyDescent="0.3">
      <c r="A284" t="s">
        <v>30</v>
      </c>
      <c r="B284">
        <v>2020</v>
      </c>
      <c r="C284" t="s">
        <v>45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>
        <v>0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  <c r="AF284">
        <f t="shared" si="4"/>
        <v>3.0428769017980679</v>
      </c>
    </row>
    <row r="285" spans="1:32" x14ac:dyDescent="0.3">
      <c r="A285" t="s">
        <v>32</v>
      </c>
      <c r="B285">
        <v>2020</v>
      </c>
      <c r="C285" t="s">
        <v>45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  <c r="AF285">
        <f t="shared" si="4"/>
        <v>-2.0134228187919461</v>
      </c>
    </row>
    <row r="286" spans="1:32" x14ac:dyDescent="0.3">
      <c r="A286" t="s">
        <v>33</v>
      </c>
      <c r="B286">
        <v>2020</v>
      </c>
      <c r="C286" t="s">
        <v>45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  <c r="AF286">
        <f t="shared" si="4"/>
        <v>-1.7808219178082154</v>
      </c>
    </row>
    <row r="287" spans="1:32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>
        <v>0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  <c r="AF287">
        <f t="shared" si="4"/>
        <v>3.2078103207810278</v>
      </c>
    </row>
    <row r="288" spans="1:32" x14ac:dyDescent="0.3">
      <c r="A288" t="s">
        <v>32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  <c r="AF288">
        <f t="shared" si="4"/>
        <v>-2.0945945945945907</v>
      </c>
    </row>
    <row r="289" spans="1:32" x14ac:dyDescent="0.3">
      <c r="A289" t="s">
        <v>33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  <c r="AF289">
        <f t="shared" si="4"/>
        <v>-1.4492753623188366</v>
      </c>
    </row>
    <row r="290" spans="1:32" x14ac:dyDescent="0.3">
      <c r="A290" t="s">
        <v>30</v>
      </c>
      <c r="B290">
        <v>2021</v>
      </c>
      <c r="C290" t="s">
        <v>34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>
        <v>0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  <c r="AF290">
        <f t="shared" si="4"/>
        <v>3.3613445378151141</v>
      </c>
    </row>
    <row r="291" spans="1:32" x14ac:dyDescent="0.3">
      <c r="A291" t="s">
        <v>32</v>
      </c>
      <c r="B291">
        <v>2021</v>
      </c>
      <c r="C291" t="s">
        <v>34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  <c r="AF291">
        <f t="shared" si="4"/>
        <v>-2.2357723577235658</v>
      </c>
    </row>
    <row r="292" spans="1:32" x14ac:dyDescent="0.3">
      <c r="A292" t="s">
        <v>33</v>
      </c>
      <c r="B292">
        <v>2021</v>
      </c>
      <c r="C292" t="s">
        <v>34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  <c r="AF292">
        <f t="shared" si="4"/>
        <v>-1.247401247401255</v>
      </c>
    </row>
    <row r="293" spans="1:32" x14ac:dyDescent="0.3">
      <c r="A293" t="s">
        <v>30</v>
      </c>
      <c r="B293">
        <v>2021</v>
      </c>
      <c r="C293" t="s">
        <v>35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47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  <c r="AF293">
        <f t="shared" si="4"/>
        <v>3.5087719298245612</v>
      </c>
    </row>
    <row r="294" spans="1:32" x14ac:dyDescent="0.3">
      <c r="A294" t="s">
        <v>32</v>
      </c>
      <c r="B294">
        <v>2021</v>
      </c>
      <c r="C294" t="s">
        <v>35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  <c r="AF294">
        <f t="shared" si="4"/>
        <v>-2.3050847457627159</v>
      </c>
    </row>
    <row r="295" spans="1:32" x14ac:dyDescent="0.3">
      <c r="A295" t="s">
        <v>33</v>
      </c>
      <c r="B295">
        <v>2021</v>
      </c>
      <c r="C295" t="s">
        <v>35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  <c r="AF295">
        <f t="shared" si="4"/>
        <v>-0.9715475364330366</v>
      </c>
    </row>
    <row r="296" spans="1:32" x14ac:dyDescent="0.3">
      <c r="A296" t="s">
        <v>30</v>
      </c>
      <c r="B296">
        <v>2021</v>
      </c>
      <c r="C296" t="s">
        <v>36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47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  <c r="AF296">
        <f t="shared" si="4"/>
        <v>3.4337771548703615</v>
      </c>
    </row>
    <row r="297" spans="1:32" x14ac:dyDescent="0.3">
      <c r="A297" t="s">
        <v>32</v>
      </c>
      <c r="B297">
        <v>2021</v>
      </c>
      <c r="C297" t="s">
        <v>36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  <c r="AF297">
        <f t="shared" si="4"/>
        <v>-2.2357723577235658</v>
      </c>
    </row>
    <row r="298" spans="1:32" x14ac:dyDescent="0.3">
      <c r="A298" t="s">
        <v>33</v>
      </c>
      <c r="B298">
        <v>2021</v>
      </c>
      <c r="C298" t="s">
        <v>36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  <c r="AF298">
        <f t="shared" si="4"/>
        <v>0.55440055440054248</v>
      </c>
    </row>
    <row r="299" spans="1:32" x14ac:dyDescent="0.3">
      <c r="A299" t="s">
        <v>30</v>
      </c>
      <c r="B299">
        <v>2021</v>
      </c>
      <c r="C299" t="s">
        <v>37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>
        <v>0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  <c r="AF299">
        <f t="shared" si="4"/>
        <v>2.5499655410062143</v>
      </c>
    </row>
    <row r="300" spans="1:32" x14ac:dyDescent="0.3">
      <c r="A300" t="s">
        <v>32</v>
      </c>
      <c r="B300">
        <v>2021</v>
      </c>
      <c r="C300" t="s">
        <v>37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  <c r="AF300">
        <f t="shared" si="4"/>
        <v>-1.6801075268817203</v>
      </c>
    </row>
    <row r="301" spans="1:32" x14ac:dyDescent="0.3">
      <c r="A301" t="s">
        <v>33</v>
      </c>
      <c r="B301">
        <v>2021</v>
      </c>
      <c r="C301" t="s">
        <v>37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  <c r="AF301">
        <f t="shared" si="4"/>
        <v>-0.4784688995215427</v>
      </c>
    </row>
    <row r="302" spans="1:32" x14ac:dyDescent="0.3">
      <c r="A302" t="s">
        <v>30</v>
      </c>
      <c r="B302">
        <v>2021</v>
      </c>
      <c r="C302" t="s">
        <v>38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>
        <v>0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  <c r="AF302">
        <f t="shared" si="4"/>
        <v>2.4725274725274686</v>
      </c>
    </row>
    <row r="303" spans="1:32" x14ac:dyDescent="0.3">
      <c r="A303" t="s">
        <v>32</v>
      </c>
      <c r="B303">
        <v>2021</v>
      </c>
      <c r="C303" t="s">
        <v>38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  <c r="AF303">
        <f t="shared" si="4"/>
        <v>-1.6756032171581769</v>
      </c>
    </row>
    <row r="304" spans="1:32" x14ac:dyDescent="0.3">
      <c r="A304" t="s">
        <v>33</v>
      </c>
      <c r="B304">
        <v>2021</v>
      </c>
      <c r="C304" t="s">
        <v>38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  <c r="AF304">
        <f t="shared" si="4"/>
        <v>-1.0906612133605962</v>
      </c>
    </row>
    <row r="305" spans="1:32" x14ac:dyDescent="0.3">
      <c r="A305" t="s">
        <v>30</v>
      </c>
      <c r="B305">
        <v>2021</v>
      </c>
      <c r="C305" t="s">
        <v>39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>
        <v>0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  <c r="AF305">
        <f t="shared" si="4"/>
        <v>2.7567195037904892</v>
      </c>
    </row>
    <row r="306" spans="1:32" x14ac:dyDescent="0.3">
      <c r="A306" t="s">
        <v>32</v>
      </c>
      <c r="B306">
        <v>2021</v>
      </c>
      <c r="C306" t="s">
        <v>39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  <c r="AF306">
        <f t="shared" si="4"/>
        <v>-1.8108651911468736</v>
      </c>
    </row>
    <row r="307" spans="1:32" x14ac:dyDescent="0.3">
      <c r="A307" t="s">
        <v>33</v>
      </c>
      <c r="B307">
        <v>2021</v>
      </c>
      <c r="C307" t="s">
        <v>39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  <c r="AF307">
        <f t="shared" si="4"/>
        <v>-1.0245901639344261</v>
      </c>
    </row>
    <row r="308" spans="1:32" x14ac:dyDescent="0.3">
      <c r="A308" t="s">
        <v>30</v>
      </c>
      <c r="B308">
        <v>2021</v>
      </c>
      <c r="C308" t="s">
        <v>40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>
        <v>0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  <c r="AF308">
        <f t="shared" si="4"/>
        <v>3.0365769496204318</v>
      </c>
    </row>
    <row r="309" spans="1:32" x14ac:dyDescent="0.3">
      <c r="A309" t="s">
        <v>32</v>
      </c>
      <c r="B309">
        <v>2021</v>
      </c>
      <c r="C309" t="s">
        <v>40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  <c r="AF309">
        <f t="shared" si="4"/>
        <v>-1.808439383791036</v>
      </c>
    </row>
    <row r="310" spans="1:32" x14ac:dyDescent="0.3">
      <c r="A310" t="s">
        <v>33</v>
      </c>
      <c r="B310">
        <v>2021</v>
      </c>
      <c r="C310" t="s">
        <v>40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  <c r="AF310">
        <f t="shared" si="4"/>
        <v>-0.81855388813096097</v>
      </c>
    </row>
    <row r="311" spans="1:32" x14ac:dyDescent="0.3">
      <c r="A311" t="s">
        <v>30</v>
      </c>
      <c r="B311">
        <v>2021</v>
      </c>
      <c r="C311" t="s">
        <v>41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>
        <v>0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  <c r="AF311">
        <f t="shared" si="4"/>
        <v>2.6822558459422323</v>
      </c>
    </row>
    <row r="312" spans="1:32" x14ac:dyDescent="0.3">
      <c r="A312" t="s">
        <v>32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  <c r="AF312">
        <f t="shared" si="4"/>
        <v>-1.808439383791036</v>
      </c>
    </row>
    <row r="313" spans="1:32" x14ac:dyDescent="0.3">
      <c r="A313" t="s">
        <v>33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  <c r="AF313">
        <f t="shared" si="4"/>
        <v>-0.34106412005457026</v>
      </c>
    </row>
    <row r="314" spans="1:32" x14ac:dyDescent="0.3">
      <c r="A314" t="s">
        <v>30</v>
      </c>
      <c r="B314">
        <v>2021</v>
      </c>
      <c r="C314" t="s">
        <v>42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>
        <v>0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  <c r="AF314">
        <f t="shared" si="4"/>
        <v>2.7378507871321016</v>
      </c>
    </row>
    <row r="315" spans="1:32" x14ac:dyDescent="0.3">
      <c r="A315" t="s">
        <v>32</v>
      </c>
      <c r="B315">
        <v>2021</v>
      </c>
      <c r="C315" t="s">
        <v>42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  <c r="AF315">
        <f t="shared" si="4"/>
        <v>-1.7988007994670145</v>
      </c>
    </row>
    <row r="316" spans="1:32" x14ac:dyDescent="0.3">
      <c r="A316" t="s">
        <v>33</v>
      </c>
      <c r="B316">
        <v>2021</v>
      </c>
      <c r="C316" t="s">
        <v>42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  <c r="AF316">
        <f t="shared" si="4"/>
        <v>-0.33921302578018991</v>
      </c>
    </row>
    <row r="317" spans="1:32" x14ac:dyDescent="0.3">
      <c r="A317" t="s">
        <v>30</v>
      </c>
      <c r="B317">
        <v>2021</v>
      </c>
      <c r="C317" t="s">
        <v>44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>
        <v>0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  <c r="AF317">
        <f t="shared" si="4"/>
        <v>2.7910142954390702</v>
      </c>
    </row>
    <row r="318" spans="1:32" x14ac:dyDescent="0.3">
      <c r="A318" t="s">
        <v>32</v>
      </c>
      <c r="B318">
        <v>2021</v>
      </c>
      <c r="C318" t="s">
        <v>44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  <c r="AF318">
        <f t="shared" si="4"/>
        <v>-1.8543046357615969</v>
      </c>
    </row>
    <row r="319" spans="1:32" x14ac:dyDescent="0.3">
      <c r="A319" t="s">
        <v>33</v>
      </c>
      <c r="B319">
        <v>2021</v>
      </c>
      <c r="C319" t="s">
        <v>44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  <c r="AF319">
        <f t="shared" si="4"/>
        <v>-0.53981106612684415</v>
      </c>
    </row>
    <row r="320" spans="1:32" x14ac:dyDescent="0.3">
      <c r="A320" t="s">
        <v>30</v>
      </c>
      <c r="B320">
        <v>2021</v>
      </c>
      <c r="C320" t="s">
        <v>45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>
        <v>0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  <c r="AF320">
        <f t="shared" si="4"/>
        <v>2.849389416553588</v>
      </c>
    </row>
    <row r="321" spans="1:32" x14ac:dyDescent="0.3">
      <c r="A321" t="s">
        <v>32</v>
      </c>
      <c r="B321">
        <v>2021</v>
      </c>
      <c r="C321" t="s">
        <v>45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  <c r="AF321">
        <f t="shared" si="4"/>
        <v>-1.9129287598944629</v>
      </c>
    </row>
    <row r="322" spans="1:32" x14ac:dyDescent="0.3">
      <c r="A322" t="s">
        <v>33</v>
      </c>
      <c r="B322">
        <v>2021</v>
      </c>
      <c r="C322" t="s">
        <v>45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  <c r="AF322">
        <f t="shared" ref="AF322:AF373" si="5">(D323-D322)/D322*100</f>
        <v>-0.26899798251511586</v>
      </c>
    </row>
    <row r="323" spans="1:32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>
        <v>0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  <c r="AF323">
        <f t="shared" si="5"/>
        <v>2.6298044504382849</v>
      </c>
    </row>
    <row r="324" spans="1:32" x14ac:dyDescent="0.3">
      <c r="A324" t="s">
        <v>32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  <c r="AF324">
        <f t="shared" si="5"/>
        <v>-1.7739816031537379</v>
      </c>
    </row>
    <row r="325" spans="1:32" x14ac:dyDescent="0.3">
      <c r="A325" t="s">
        <v>33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  <c r="AF325">
        <f t="shared" si="5"/>
        <v>-0.4682274247491563</v>
      </c>
    </row>
    <row r="326" spans="1:32" x14ac:dyDescent="0.3">
      <c r="A326" t="s">
        <v>30</v>
      </c>
      <c r="B326">
        <v>2022</v>
      </c>
      <c r="C326" t="s">
        <v>34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>
        <v>0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  <c r="AF326">
        <f t="shared" si="5"/>
        <v>2.4865591397849385</v>
      </c>
    </row>
    <row r="327" spans="1:32" x14ac:dyDescent="0.3">
      <c r="A327" t="s">
        <v>32</v>
      </c>
      <c r="B327">
        <v>2022</v>
      </c>
      <c r="C327" t="s">
        <v>34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  <c r="AF327">
        <f t="shared" si="5"/>
        <v>-1.639344262295082</v>
      </c>
    </row>
    <row r="328" spans="1:32" x14ac:dyDescent="0.3">
      <c r="A328" t="s">
        <v>33</v>
      </c>
      <c r="B328">
        <v>2022</v>
      </c>
      <c r="C328" t="s">
        <v>34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  <c r="AF328">
        <f t="shared" si="5"/>
        <v>0.13333333333332575</v>
      </c>
    </row>
    <row r="329" spans="1:32" x14ac:dyDescent="0.3">
      <c r="A329" t="s">
        <v>30</v>
      </c>
      <c r="B329">
        <v>2022</v>
      </c>
      <c r="C329" t="s">
        <v>35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>
        <v>0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  <c r="AF329">
        <f t="shared" si="5"/>
        <v>2.3302263648468711</v>
      </c>
    </row>
    <row r="330" spans="1:32" x14ac:dyDescent="0.3">
      <c r="A330" t="s">
        <v>32</v>
      </c>
      <c r="B330">
        <v>2022</v>
      </c>
      <c r="C330" t="s">
        <v>35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  <c r="AF330">
        <f t="shared" si="5"/>
        <v>-1.5614834092387622</v>
      </c>
    </row>
    <row r="331" spans="1:32" x14ac:dyDescent="0.3">
      <c r="A331" t="s">
        <v>33</v>
      </c>
      <c r="B331">
        <v>2022</v>
      </c>
      <c r="C331" t="s">
        <v>35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  <c r="AF331">
        <f t="shared" si="5"/>
        <v>0.33046926635822865</v>
      </c>
    </row>
    <row r="332" spans="1:32" x14ac:dyDescent="0.3">
      <c r="A332" t="s">
        <v>30</v>
      </c>
      <c r="B332">
        <v>2022</v>
      </c>
      <c r="C332" t="s">
        <v>36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>
        <v>0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  <c r="AF332">
        <f t="shared" si="5"/>
        <v>2.3715415019762807</v>
      </c>
    </row>
    <row r="333" spans="1:32" x14ac:dyDescent="0.3">
      <c r="A333" t="s">
        <v>32</v>
      </c>
      <c r="B333">
        <v>2022</v>
      </c>
      <c r="C333" t="s">
        <v>36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  <c r="AF333">
        <f t="shared" si="5"/>
        <v>-1.6087516087516087</v>
      </c>
    </row>
    <row r="334" spans="1:32" x14ac:dyDescent="0.3">
      <c r="A334" t="s">
        <v>33</v>
      </c>
      <c r="B334">
        <v>2022</v>
      </c>
      <c r="C334" t="s">
        <v>36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  <c r="AF334">
        <f t="shared" si="5"/>
        <v>0</v>
      </c>
    </row>
    <row r="335" spans="1:32" x14ac:dyDescent="0.3">
      <c r="A335" t="s">
        <v>30</v>
      </c>
      <c r="B335">
        <v>2022</v>
      </c>
      <c r="C335" t="s">
        <v>37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>
        <v>0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  <c r="AF335">
        <f t="shared" si="5"/>
        <v>2.4852844996729777</v>
      </c>
    </row>
    <row r="336" spans="1:32" x14ac:dyDescent="0.3">
      <c r="A336" t="s">
        <v>32</v>
      </c>
      <c r="B336">
        <v>2022</v>
      </c>
      <c r="C336" t="s">
        <v>37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  <c r="AF336">
        <f t="shared" si="5"/>
        <v>-1.6592214422463269</v>
      </c>
    </row>
    <row r="337" spans="1:32" x14ac:dyDescent="0.3">
      <c r="A337" t="s">
        <v>33</v>
      </c>
      <c r="B337">
        <v>2022</v>
      </c>
      <c r="C337" t="s">
        <v>37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  <c r="AF337">
        <f t="shared" si="5"/>
        <v>-0.19467878001296754</v>
      </c>
    </row>
    <row r="338" spans="1:32" x14ac:dyDescent="0.3">
      <c r="A338" t="s">
        <v>30</v>
      </c>
      <c r="B338">
        <v>2022</v>
      </c>
      <c r="C338" t="s">
        <v>38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>
        <v>0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  <c r="AF338">
        <f t="shared" si="5"/>
        <v>2.4057217165149467</v>
      </c>
    </row>
    <row r="339" spans="1:32" x14ac:dyDescent="0.3">
      <c r="A339" t="s">
        <v>32</v>
      </c>
      <c r="B339">
        <v>2022</v>
      </c>
      <c r="C339" t="s">
        <v>38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  <c r="AF339">
        <f t="shared" si="5"/>
        <v>-1.5873015873015872</v>
      </c>
    </row>
    <row r="340" spans="1:32" x14ac:dyDescent="0.3">
      <c r="A340" t="s">
        <v>33</v>
      </c>
      <c r="B340">
        <v>2022</v>
      </c>
      <c r="C340" t="s">
        <v>38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  <c r="AF340">
        <f t="shared" si="5"/>
        <v>0.1290322580645088</v>
      </c>
    </row>
    <row r="341" spans="1:32" x14ac:dyDescent="0.3">
      <c r="A341" t="s">
        <v>30</v>
      </c>
      <c r="B341">
        <v>2022</v>
      </c>
      <c r="C341" t="s">
        <v>39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>
        <v>0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  <c r="AF341">
        <f t="shared" si="5"/>
        <v>2.6417525773196027</v>
      </c>
    </row>
    <row r="342" spans="1:32" x14ac:dyDescent="0.3">
      <c r="A342" t="s">
        <v>32</v>
      </c>
      <c r="B342">
        <v>2022</v>
      </c>
      <c r="C342" t="s">
        <v>39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  <c r="AF342">
        <f t="shared" si="5"/>
        <v>-1.7576898932831204</v>
      </c>
    </row>
    <row r="343" spans="1:32" x14ac:dyDescent="0.3">
      <c r="A343" t="s">
        <v>33</v>
      </c>
      <c r="B343">
        <v>2022</v>
      </c>
      <c r="C343" t="s">
        <v>39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  <c r="AF343">
        <f t="shared" si="5"/>
        <v>1.9169329073482428</v>
      </c>
    </row>
    <row r="344" spans="1:32" x14ac:dyDescent="0.3">
      <c r="A344" t="s">
        <v>30</v>
      </c>
      <c r="B344">
        <v>2022</v>
      </c>
      <c r="C344" t="s">
        <v>40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>
        <v>0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  <c r="AF344">
        <f t="shared" si="5"/>
        <v>1.6300940438871439</v>
      </c>
    </row>
    <row r="345" spans="1:32" x14ac:dyDescent="0.3">
      <c r="A345" t="s">
        <v>32</v>
      </c>
      <c r="B345">
        <v>2022</v>
      </c>
      <c r="C345" t="s">
        <v>40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  <c r="AF345">
        <f t="shared" si="5"/>
        <v>-1.1104256631708715</v>
      </c>
    </row>
    <row r="346" spans="1:32" x14ac:dyDescent="0.3">
      <c r="A346" t="s">
        <v>33</v>
      </c>
      <c r="B346">
        <v>2022</v>
      </c>
      <c r="C346" t="s">
        <v>40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  <c r="AF346">
        <f t="shared" si="5"/>
        <v>1.6219588271989982</v>
      </c>
    </row>
    <row r="347" spans="1:32" x14ac:dyDescent="0.3">
      <c r="A347" t="s">
        <v>30</v>
      </c>
      <c r="B347">
        <v>2022</v>
      </c>
      <c r="C347" t="s">
        <v>41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>
        <v>0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  <c r="AF347">
        <f t="shared" si="5"/>
        <v>1.2277470841006752</v>
      </c>
    </row>
    <row r="348" spans="1:32" x14ac:dyDescent="0.3">
      <c r="A348" t="s">
        <v>32</v>
      </c>
      <c r="B348">
        <v>2022</v>
      </c>
      <c r="C348" t="s">
        <v>41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  <c r="AF348">
        <f t="shared" si="5"/>
        <v>-0.84899939357186516</v>
      </c>
    </row>
    <row r="349" spans="1:32" x14ac:dyDescent="0.3">
      <c r="A349" t="s">
        <v>33</v>
      </c>
      <c r="B349">
        <v>2022</v>
      </c>
      <c r="C349" t="s">
        <v>41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  <c r="AF349">
        <f t="shared" si="5"/>
        <v>0.73394495412843341</v>
      </c>
    </row>
    <row r="350" spans="1:32" x14ac:dyDescent="0.3">
      <c r="A350" t="s">
        <v>30</v>
      </c>
      <c r="B350">
        <v>2022</v>
      </c>
      <c r="C350" t="s">
        <v>42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>
        <v>0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  <c r="AF350">
        <f t="shared" si="5"/>
        <v>1.0321797207043213</v>
      </c>
    </row>
    <row r="351" spans="1:32" x14ac:dyDescent="0.3">
      <c r="A351" t="s">
        <v>32</v>
      </c>
      <c r="B351">
        <v>2022</v>
      </c>
      <c r="C351" t="s">
        <v>42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  <c r="AF351">
        <f t="shared" si="5"/>
        <v>-0.72115384615385636</v>
      </c>
    </row>
    <row r="352" spans="1:32" x14ac:dyDescent="0.3">
      <c r="A352" t="s">
        <v>33</v>
      </c>
      <c r="B352">
        <v>2022</v>
      </c>
      <c r="C352" t="s">
        <v>42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  <c r="AF352">
        <f t="shared" si="5"/>
        <v>1.0290556900726495</v>
      </c>
    </row>
    <row r="353" spans="1:32" x14ac:dyDescent="0.3">
      <c r="A353" t="s">
        <v>30</v>
      </c>
      <c r="B353">
        <v>2022</v>
      </c>
      <c r="C353" t="s">
        <v>44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>
        <v>0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  <c r="AF353">
        <f t="shared" si="5"/>
        <v>0.89874176153385255</v>
      </c>
    </row>
    <row r="354" spans="1:32" x14ac:dyDescent="0.3">
      <c r="A354" t="s">
        <v>32</v>
      </c>
      <c r="B354">
        <v>2022</v>
      </c>
      <c r="C354" t="s">
        <v>44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  <c r="AF354">
        <f t="shared" si="5"/>
        <v>-0.59382422802850354</v>
      </c>
    </row>
    <row r="355" spans="1:32" x14ac:dyDescent="0.3">
      <c r="A355" t="s">
        <v>33</v>
      </c>
      <c r="B355">
        <v>2022</v>
      </c>
      <c r="C355" t="s">
        <v>44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  <c r="AF355">
        <f t="shared" si="5"/>
        <v>0.83632019115890432</v>
      </c>
    </row>
    <row r="356" spans="1:32" x14ac:dyDescent="0.3">
      <c r="A356" t="s">
        <v>30</v>
      </c>
      <c r="B356">
        <v>2022</v>
      </c>
      <c r="C356" t="s">
        <v>45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>
        <v>0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  <c r="AF356">
        <f t="shared" si="5"/>
        <v>0.82938388625591075</v>
      </c>
    </row>
    <row r="357" spans="1:32" x14ac:dyDescent="0.3">
      <c r="A357" t="s">
        <v>32</v>
      </c>
      <c r="B357">
        <v>2022</v>
      </c>
      <c r="C357" t="s">
        <v>45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  <c r="AF357">
        <f t="shared" si="5"/>
        <v>-0.58754406580493534</v>
      </c>
    </row>
    <row r="358" spans="1:32" x14ac:dyDescent="0.3">
      <c r="A358" t="s">
        <v>33</v>
      </c>
      <c r="B358">
        <v>2022</v>
      </c>
      <c r="C358" t="s">
        <v>45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  <c r="AF358">
        <f t="shared" si="5"/>
        <v>2.8368794326241202</v>
      </c>
    </row>
    <row r="359" spans="1:32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>
        <v>0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  <c r="AF359">
        <f t="shared" si="5"/>
        <v>-0.40229885057470616</v>
      </c>
    </row>
    <row r="360" spans="1:32" x14ac:dyDescent="0.3">
      <c r="A360" t="s">
        <v>32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  <c r="AF360">
        <f t="shared" si="5"/>
        <v>0.2885170225043277</v>
      </c>
    </row>
    <row r="361" spans="1:32" x14ac:dyDescent="0.3">
      <c r="A361" t="s">
        <v>33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  <c r="AF361">
        <f t="shared" si="5"/>
        <v>0.23014959723819173</v>
      </c>
    </row>
    <row r="362" spans="1:32" x14ac:dyDescent="0.3">
      <c r="A362" t="s">
        <v>30</v>
      </c>
      <c r="B362">
        <v>2023</v>
      </c>
      <c r="C362" t="s">
        <v>34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>
        <v>0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  <c r="AF362">
        <f t="shared" si="5"/>
        <v>0.28702640642939153</v>
      </c>
    </row>
    <row r="363" spans="1:32" x14ac:dyDescent="0.3">
      <c r="A363" t="s">
        <v>32</v>
      </c>
      <c r="B363">
        <v>2023</v>
      </c>
      <c r="C363" t="s">
        <v>34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  <c r="AF363">
        <f t="shared" si="5"/>
        <v>-0.17172295363479276</v>
      </c>
    </row>
    <row r="364" spans="1:32" x14ac:dyDescent="0.3">
      <c r="A364" t="s">
        <v>33</v>
      </c>
      <c r="B364">
        <v>2023</v>
      </c>
      <c r="C364" t="s">
        <v>34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  <c r="AF364">
        <f t="shared" si="5"/>
        <v>-5.7339449541281146E-2</v>
      </c>
    </row>
    <row r="365" spans="1:32" x14ac:dyDescent="0.3">
      <c r="A365" t="s">
        <v>30</v>
      </c>
      <c r="B365">
        <v>2023</v>
      </c>
      <c r="C365" t="s">
        <v>35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>
        <v>0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F365">
        <f t="shared" si="5"/>
        <v>0.22948938611587907</v>
      </c>
    </row>
    <row r="366" spans="1:32" x14ac:dyDescent="0.3">
      <c r="A366" t="s">
        <v>32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  <c r="AF366">
        <f t="shared" si="5"/>
        <v>-0.17172295363479276</v>
      </c>
    </row>
    <row r="367" spans="1:32" x14ac:dyDescent="0.3">
      <c r="A367" t="s">
        <v>33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F367">
        <f t="shared" si="5"/>
        <v>-0.63073394495412516</v>
      </c>
    </row>
    <row r="368" spans="1:32" x14ac:dyDescent="0.3">
      <c r="A368" t="s">
        <v>30</v>
      </c>
      <c r="B368">
        <v>2023</v>
      </c>
      <c r="C368" t="s">
        <v>36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47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  <c r="AF368">
        <f t="shared" si="5"/>
        <v>0.86555106751298316</v>
      </c>
    </row>
    <row r="369" spans="1:32" x14ac:dyDescent="0.3">
      <c r="A369" t="s">
        <v>32</v>
      </c>
      <c r="B369">
        <v>2023</v>
      </c>
      <c r="C369" t="s">
        <v>36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  <c r="AF369">
        <f t="shared" si="5"/>
        <v>-0.57208237986270016</v>
      </c>
    </row>
    <row r="370" spans="1:32" x14ac:dyDescent="0.3">
      <c r="A370" t="s">
        <v>33</v>
      </c>
      <c r="B370">
        <v>2023</v>
      </c>
      <c r="C370" t="s">
        <v>36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  <c r="AF370">
        <f t="shared" si="5"/>
        <v>-0.34522439585732034</v>
      </c>
    </row>
    <row r="371" spans="1:32" x14ac:dyDescent="0.3">
      <c r="A371" t="s">
        <v>30</v>
      </c>
      <c r="B371">
        <v>2023</v>
      </c>
      <c r="C371" t="s">
        <v>37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47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  <c r="AF371">
        <f t="shared" si="5"/>
        <v>0.86605080831408787</v>
      </c>
    </row>
    <row r="372" spans="1:32" x14ac:dyDescent="0.3">
      <c r="A372" t="s">
        <v>32</v>
      </c>
      <c r="B372">
        <v>2023</v>
      </c>
      <c r="C372" t="s">
        <v>37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  <c r="AF372">
        <f t="shared" si="5"/>
        <v>-0.5724098454493417</v>
      </c>
    </row>
    <row r="373" spans="1:32" x14ac:dyDescent="0.3">
      <c r="A373" t="s">
        <v>33</v>
      </c>
      <c r="B373">
        <v>2023</v>
      </c>
      <c r="C373" t="s">
        <v>37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  <c r="AF373">
        <f t="shared" si="5"/>
        <v>-100</v>
      </c>
    </row>
  </sheetData>
  <pageMargins left="0.7" right="0.7" top="0.75" bottom="0.75" header="0.3" footer="0.3"/>
  <ignoredErrors>
    <ignoredError sqref="D263 AA262 I264 M26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1F39-DA5F-42A2-9006-627509C1B419}">
  <dimension ref="A1:W373"/>
  <sheetViews>
    <sheetView topLeftCell="B1" workbookViewId="0">
      <selection activeCell="W1" sqref="W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48</v>
      </c>
      <c r="E1" t="s">
        <v>49</v>
      </c>
      <c r="F1" t="s">
        <v>90</v>
      </c>
      <c r="G1" t="s">
        <v>50</v>
      </c>
      <c r="H1" t="s">
        <v>51</v>
      </c>
      <c r="I1" t="s">
        <v>91</v>
      </c>
      <c r="J1" t="s">
        <v>92</v>
      </c>
      <c r="K1" t="s">
        <v>93</v>
      </c>
      <c r="L1" t="s">
        <v>94</v>
      </c>
      <c r="M1" t="s">
        <v>53</v>
      </c>
      <c r="N1" t="s">
        <v>62</v>
      </c>
      <c r="O1" t="s">
        <v>72</v>
      </c>
      <c r="P1" t="s">
        <v>96</v>
      </c>
      <c r="Q1" t="s">
        <v>77</v>
      </c>
      <c r="R1" t="s">
        <v>76</v>
      </c>
      <c r="S1" t="s">
        <v>97</v>
      </c>
      <c r="T1" t="s">
        <v>63</v>
      </c>
      <c r="U1" t="s">
        <v>74</v>
      </c>
      <c r="V1" t="s">
        <v>98</v>
      </c>
    </row>
    <row r="2" spans="1:23" x14ac:dyDescent="0.3">
      <c r="A2" t="s">
        <v>30</v>
      </c>
      <c r="B2">
        <v>2013</v>
      </c>
      <c r="C2" t="s">
        <v>31</v>
      </c>
      <c r="D2">
        <f>'All_India_Index_Upto_April23 (1'!D2+'All_India_Index_Upto_April23 (1'!G2+'All_India_Index_Upto_April23 (1'!H2+'All_India_Index_Upto_April23 (1'!I2+'All_India_Index_Upto_April23 (1'!J2+'All_India_Index_Upto_April23 (1'!K2+'All_India_Index_Upto_April23 (1'!L2+'All_India_Index_Upto_April23 (1'!M2+'All_India_Index_Upto_April23 (1'!N2+'All_India_Index_Upto_April23 (1'!O2+'All_India_Index_Upto_April23 (1'!P2</f>
        <v>1157.3</v>
      </c>
      <c r="E2">
        <f>'All_India_Index_Upto_April23 (1'!E2+'All_India_Index_Upto_April23 (1'!F2</f>
        <v>214.39999999999998</v>
      </c>
      <c r="F2">
        <v>105.1</v>
      </c>
      <c r="G2">
        <f>'All_India_Index_Upto_April23 (1'!R2+'All_India_Index_Upto_April23 (1'!S2+'All_India_Index_Upto_April23 (1'!T2</f>
        <v>318.70000000000005</v>
      </c>
      <c r="H2">
        <f>'All_India_Index_Upto_April23 (1'!U2+'All_India_Index_Upto_April23 (1'!W2</f>
        <v>104.8</v>
      </c>
      <c r="I2">
        <v>105.5</v>
      </c>
      <c r="J2">
        <v>104</v>
      </c>
      <c r="K2">
        <v>103.3</v>
      </c>
      <c r="L2">
        <f>'All_India_Index_Upto_April23 (1'!Z2+'All_India_Index_Upto_April23 (1'!AA2+'All_India_Index_Upto_April23 (1'!AB2+'All_India_Index_Upto_April23 (1'!AC2+'All_India_Index_Upto_April23 (1'!AD2</f>
        <v>521</v>
      </c>
      <c r="M2">
        <f>D2+E2+F2+G2+H2+I2+J2+K2+L2</f>
        <v>2734.1</v>
      </c>
      <c r="N2">
        <f>D2/M2*100</f>
        <v>42.328371310486084</v>
      </c>
      <c r="O2">
        <f>E2/M2*100</f>
        <v>7.8417029369810907</v>
      </c>
      <c r="P2">
        <f>F2/M2*100</f>
        <v>3.8440437438279504</v>
      </c>
      <c r="Q2">
        <f>G2/M2*100</f>
        <v>11.656486595223294</v>
      </c>
      <c r="R2">
        <f>H2/M2*100</f>
        <v>3.8330712117332943</v>
      </c>
      <c r="S2">
        <f>I2/M2*100</f>
        <v>3.8586737866208263</v>
      </c>
      <c r="T2">
        <f>J2/M2*100</f>
        <v>3.8038111261475436</v>
      </c>
      <c r="U2">
        <f>K2/M2*100</f>
        <v>3.7782085512600121</v>
      </c>
      <c r="V2">
        <f>L2/M2*100</f>
        <v>19.055630737719909</v>
      </c>
      <c r="W2">
        <f>N2+O2+P2+Q2+R2+S2+T2+U2+V2</f>
        <v>100.00000000000001</v>
      </c>
    </row>
    <row r="3" spans="1:23" x14ac:dyDescent="0.3">
      <c r="A3" t="s">
        <v>32</v>
      </c>
      <c r="B3">
        <v>2013</v>
      </c>
      <c r="C3" t="s">
        <v>31</v>
      </c>
      <c r="D3">
        <f>'All_India_Index_Upto_April23 (1'!D3+'All_India_Index_Upto_April23 (1'!G3+'All_India_Index_Upto_April23 (1'!H3+'All_India_Index_Upto_April23 (1'!I3+'All_India_Index_Upto_April23 (1'!J3+'All_India_Index_Upto_April23 (1'!K3+'All_India_Index_Upto_April23 (1'!L3+'All_India_Index_Upto_April23 (1'!M3+'All_India_Index_Upto_April23 (1'!N3+'All_India_Index_Upto_April23 (1'!O3+'All_India_Index_Upto_April23 (1'!P3</f>
        <v>1154.3000000000002</v>
      </c>
      <c r="E3">
        <f>'All_India_Index_Upto_April23 (1'!E3+'All_India_Index_Upto_April23 (1'!F3</f>
        <v>222.1</v>
      </c>
      <c r="F3">
        <v>105.2</v>
      </c>
      <c r="G3">
        <f>'All_India_Index_Upto_April23 (1'!R3+'All_India_Index_Upto_April23 (1'!S3+'All_India_Index_Upto_April23 (1'!T3</f>
        <v>316.7</v>
      </c>
      <c r="H3">
        <f>'All_India_Index_Upto_April23 (1'!U3+'All_India_Index_Upto_April23 (1'!W3</f>
        <v>205.1</v>
      </c>
      <c r="I3">
        <v>105.4</v>
      </c>
      <c r="J3">
        <v>104.1</v>
      </c>
      <c r="K3">
        <v>103.2</v>
      </c>
      <c r="L3">
        <f>'All_India_Index_Upto_April23 (1'!Z3+'All_India_Index_Upto_April23 (1'!AA3+'All_India_Index_Upto_April23 (1'!AB3+'All_India_Index_Upto_April23 (1'!AC3+'All_India_Index_Upto_April23 (1'!AD3</f>
        <v>518.4</v>
      </c>
      <c r="M3">
        <f t="shared" ref="M3:M66" si="0">D3+E3+F3+G3+H3+I3+J3+K3+L3</f>
        <v>2834.5</v>
      </c>
      <c r="N3">
        <f t="shared" ref="N3:N66" si="1">D3/M3*100</f>
        <v>40.723231610513324</v>
      </c>
      <c r="O3">
        <f t="shared" ref="O3:O66" si="2">E3/M3*100</f>
        <v>7.8355971070735579</v>
      </c>
      <c r="P3">
        <f t="shared" ref="P3:P66" si="3">F3/M3*100</f>
        <v>3.7114129476098081</v>
      </c>
      <c r="Q3">
        <f t="shared" ref="Q3:Q66" si="4">G3/M3*100</f>
        <v>11.173046392661846</v>
      </c>
      <c r="R3">
        <f t="shared" ref="R3:R66" si="5">H3/M3*100</f>
        <v>7.2358440642088544</v>
      </c>
      <c r="S3">
        <f t="shared" ref="S3:S66" si="6">I3/M3*100</f>
        <v>3.7184688657611575</v>
      </c>
      <c r="T3">
        <f t="shared" ref="T3:T66" si="7">J3/M3*100</f>
        <v>3.6726053977773856</v>
      </c>
      <c r="U3">
        <f t="shared" ref="U3:U66" si="8">K3/M3*100</f>
        <v>3.6408537660963134</v>
      </c>
      <c r="V3">
        <f t="shared" ref="V3:V66" si="9">L3/M3*100</f>
        <v>18.288939848297758</v>
      </c>
      <c r="W3">
        <f t="shared" ref="W3:W66" si="10">N3+O3+P3+Q3+R3+S3+T3+U3+V3</f>
        <v>100</v>
      </c>
    </row>
    <row r="4" spans="1:23" x14ac:dyDescent="0.3">
      <c r="A4" t="s">
        <v>33</v>
      </c>
      <c r="B4">
        <v>2013</v>
      </c>
      <c r="C4" t="s">
        <v>31</v>
      </c>
      <c r="D4">
        <f>'All_India_Index_Upto_April23 (1'!D4+'All_India_Index_Upto_April23 (1'!G4+'All_India_Index_Upto_April23 (1'!H4+'All_India_Index_Upto_April23 (1'!I4+'All_India_Index_Upto_April23 (1'!J4+'All_India_Index_Upto_April23 (1'!K4+'All_India_Index_Upto_April23 (1'!L4+'All_India_Index_Upto_April23 (1'!M4+'All_India_Index_Upto_April23 (1'!N4+'All_India_Index_Upto_April23 (1'!O4+'All_India_Index_Upto_April23 (1'!P4</f>
        <v>1156</v>
      </c>
      <c r="E4">
        <f>'All_India_Index_Upto_April23 (1'!E4+'All_India_Index_Upto_April23 (1'!F4</f>
        <v>217.3</v>
      </c>
      <c r="F4">
        <v>105.1</v>
      </c>
      <c r="G4">
        <f>'All_India_Index_Upto_April23 (1'!R4+'All_India_Index_Upto_April23 (1'!S4+'All_India_Index_Upto_April23 (1'!T4</f>
        <v>318</v>
      </c>
      <c r="H4">
        <f>'All_India_Index_Upto_April23 (1'!U4+'All_India_Index_Upto_April23 (1'!W4</f>
        <v>205.1</v>
      </c>
      <c r="I4">
        <v>105.5</v>
      </c>
      <c r="J4">
        <v>104</v>
      </c>
      <c r="K4">
        <v>103.2</v>
      </c>
      <c r="L4">
        <f>'All_India_Index_Upto_April23 (1'!Z4+'All_India_Index_Upto_April23 (1'!AA4+'All_India_Index_Upto_April23 (1'!AB4+'All_India_Index_Upto_April23 (1'!AC4+'All_India_Index_Upto_April23 (1'!AD4</f>
        <v>519.70000000000005</v>
      </c>
      <c r="M4">
        <f t="shared" si="0"/>
        <v>2833.8999999999996</v>
      </c>
      <c r="N4">
        <f t="shared" si="1"/>
        <v>40.79184163167367</v>
      </c>
      <c r="O4">
        <f t="shared" si="2"/>
        <v>7.6678781890680696</v>
      </c>
      <c r="P4">
        <f t="shared" si="3"/>
        <v>3.7086700306997429</v>
      </c>
      <c r="Q4">
        <f t="shared" si="4"/>
        <v>11.22128515473376</v>
      </c>
      <c r="R4">
        <f t="shared" si="5"/>
        <v>7.2373760542009249</v>
      </c>
      <c r="S4">
        <f t="shared" si="6"/>
        <v>3.7227848547937472</v>
      </c>
      <c r="T4">
        <f t="shared" si="7"/>
        <v>3.6698542644412302</v>
      </c>
      <c r="U4">
        <f t="shared" si="8"/>
        <v>3.6416246162532202</v>
      </c>
      <c r="V4">
        <f t="shared" si="9"/>
        <v>18.338685204135647</v>
      </c>
      <c r="W4">
        <f t="shared" si="10"/>
        <v>100</v>
      </c>
    </row>
    <row r="5" spans="1:23" x14ac:dyDescent="0.3">
      <c r="A5" t="s">
        <v>30</v>
      </c>
      <c r="B5">
        <v>2013</v>
      </c>
      <c r="C5" t="s">
        <v>34</v>
      </c>
      <c r="D5">
        <f>'All_India_Index_Upto_April23 (1'!D5+'All_India_Index_Upto_April23 (1'!G5+'All_India_Index_Upto_April23 (1'!H5+'All_India_Index_Upto_April23 (1'!I5+'All_India_Index_Upto_April23 (1'!J5+'All_India_Index_Upto_April23 (1'!K5+'All_India_Index_Upto_April23 (1'!L5+'All_India_Index_Upto_April23 (1'!M5+'All_India_Index_Upto_April23 (1'!N5+'All_India_Index_Upto_April23 (1'!O5+'All_India_Index_Upto_April23 (1'!P5</f>
        <v>1161.5</v>
      </c>
      <c r="E5">
        <f>'All_India_Index_Upto_April23 (1'!E5+'All_India_Index_Upto_April23 (1'!F5</f>
        <v>218.9</v>
      </c>
      <c r="F5">
        <v>105.6</v>
      </c>
      <c r="G5">
        <f>'All_India_Index_Upto_April23 (1'!R5+'All_India_Index_Upto_April23 (1'!S5+'All_India_Index_Upto_April23 (1'!T5</f>
        <v>320.39999999999998</v>
      </c>
      <c r="H5">
        <f>'All_India_Index_Upto_April23 (1'!U5+'All_India_Index_Upto_April23 (1'!W5</f>
        <v>105.2</v>
      </c>
      <c r="I5">
        <v>106.2</v>
      </c>
      <c r="J5">
        <v>104.4</v>
      </c>
      <c r="K5">
        <v>103.9</v>
      </c>
      <c r="L5">
        <f>'All_India_Index_Upto_April23 (1'!Z5+'All_India_Index_Upto_April23 (1'!AA5+'All_India_Index_Upto_April23 (1'!AB5+'All_India_Index_Upto_April23 (1'!AC5+'All_India_Index_Upto_April23 (1'!AD5</f>
        <v>522.9</v>
      </c>
      <c r="M5">
        <f t="shared" si="0"/>
        <v>2749.0000000000005</v>
      </c>
      <c r="N5">
        <f t="shared" si="1"/>
        <v>42.25172790105492</v>
      </c>
      <c r="O5">
        <f t="shared" si="2"/>
        <v>7.9628955983994167</v>
      </c>
      <c r="P5">
        <f t="shared" si="3"/>
        <v>3.841396871589668</v>
      </c>
      <c r="Q5">
        <f t="shared" si="4"/>
        <v>11.655147326300471</v>
      </c>
      <c r="R5">
        <f t="shared" si="5"/>
        <v>3.8268461258639501</v>
      </c>
      <c r="S5">
        <f t="shared" si="6"/>
        <v>3.863222990178246</v>
      </c>
      <c r="T5">
        <f t="shared" si="7"/>
        <v>3.797744634412513</v>
      </c>
      <c r="U5">
        <f t="shared" si="8"/>
        <v>3.7795562022553653</v>
      </c>
      <c r="V5">
        <f t="shared" si="9"/>
        <v>19.021462349945431</v>
      </c>
      <c r="W5">
        <f t="shared" si="10"/>
        <v>99.999999999999972</v>
      </c>
    </row>
    <row r="6" spans="1:23" x14ac:dyDescent="0.3">
      <c r="A6" t="s">
        <v>32</v>
      </c>
      <c r="B6">
        <v>2013</v>
      </c>
      <c r="C6" t="s">
        <v>34</v>
      </c>
      <c r="D6">
        <f>'All_India_Index_Upto_April23 (1'!D6+'All_India_Index_Upto_April23 (1'!G6+'All_India_Index_Upto_April23 (1'!H6+'All_India_Index_Upto_April23 (1'!I6+'All_India_Index_Upto_April23 (1'!J6+'All_India_Index_Upto_April23 (1'!K6+'All_India_Index_Upto_April23 (1'!L6+'All_India_Index_Upto_April23 (1'!M6+'All_India_Index_Upto_April23 (1'!N6+'All_India_Index_Upto_April23 (1'!O6+'All_India_Index_Upto_April23 (1'!P6</f>
        <v>1160.8</v>
      </c>
      <c r="E6">
        <f>'All_India_Index_Upto_April23 (1'!E6+'All_India_Index_Upto_April23 (1'!F6</f>
        <v>229.8</v>
      </c>
      <c r="F6">
        <v>106</v>
      </c>
      <c r="G6">
        <f>'All_India_Index_Upto_April23 (1'!R6+'All_India_Index_Upto_April23 (1'!S6+'All_India_Index_Upto_April23 (1'!T6</f>
        <v>318.5</v>
      </c>
      <c r="H6">
        <f>'All_India_Index_Upto_April23 (1'!U6+'All_India_Index_Upto_April23 (1'!W6</f>
        <v>205.60000000000002</v>
      </c>
      <c r="I6">
        <v>105.7</v>
      </c>
      <c r="J6">
        <v>104.7</v>
      </c>
      <c r="K6">
        <v>104.4</v>
      </c>
      <c r="L6">
        <f>'All_India_Index_Upto_April23 (1'!Z6+'All_India_Index_Upto_April23 (1'!AA6+'All_India_Index_Upto_April23 (1'!AB6+'All_India_Index_Upto_April23 (1'!AC6+'All_India_Index_Upto_April23 (1'!AD6</f>
        <v>520.30000000000007</v>
      </c>
      <c r="M6">
        <f t="shared" si="0"/>
        <v>2855.7999999999997</v>
      </c>
      <c r="N6">
        <f t="shared" si="1"/>
        <v>40.647104138945309</v>
      </c>
      <c r="O6">
        <f t="shared" si="2"/>
        <v>8.0467819875341426</v>
      </c>
      <c r="P6">
        <f t="shared" si="3"/>
        <v>3.7117445199243648</v>
      </c>
      <c r="Q6">
        <f t="shared" si="4"/>
        <v>11.152741788640661</v>
      </c>
      <c r="R6">
        <f t="shared" si="5"/>
        <v>7.1993837103438638</v>
      </c>
      <c r="S6">
        <f t="shared" si="6"/>
        <v>3.701239582603824</v>
      </c>
      <c r="T6">
        <f t="shared" si="7"/>
        <v>3.6662231248686887</v>
      </c>
      <c r="U6">
        <f t="shared" si="8"/>
        <v>3.6557181875481479</v>
      </c>
      <c r="V6">
        <f t="shared" si="9"/>
        <v>18.21906295959101</v>
      </c>
      <c r="W6">
        <f t="shared" si="10"/>
        <v>100.00000000000001</v>
      </c>
    </row>
    <row r="7" spans="1:23" x14ac:dyDescent="0.3">
      <c r="A7" t="s">
        <v>33</v>
      </c>
      <c r="B7">
        <v>2013</v>
      </c>
      <c r="C7" t="s">
        <v>34</v>
      </c>
      <c r="D7">
        <f>'All_India_Index_Upto_April23 (1'!D7+'All_India_Index_Upto_April23 (1'!G7+'All_India_Index_Upto_April23 (1'!H7+'All_India_Index_Upto_April23 (1'!I7+'All_India_Index_Upto_April23 (1'!J7+'All_India_Index_Upto_April23 (1'!K7+'All_India_Index_Upto_April23 (1'!L7+'All_India_Index_Upto_April23 (1'!M7+'All_India_Index_Upto_April23 (1'!N7+'All_India_Index_Upto_April23 (1'!O7+'All_India_Index_Upto_April23 (1'!P7</f>
        <v>1161.1999999999998</v>
      </c>
      <c r="E7">
        <f>'All_India_Index_Upto_April23 (1'!E7+'All_India_Index_Upto_April23 (1'!F7</f>
        <v>223</v>
      </c>
      <c r="F7">
        <v>105.7</v>
      </c>
      <c r="G7">
        <f>'All_India_Index_Upto_April23 (1'!R7+'All_India_Index_Upto_April23 (1'!S7+'All_India_Index_Upto_April23 (1'!T7</f>
        <v>319.7</v>
      </c>
      <c r="H7">
        <f>'All_India_Index_Upto_April23 (1'!U7+'All_India_Index_Upto_April23 (1'!W7</f>
        <v>205.60000000000002</v>
      </c>
      <c r="I7">
        <v>106</v>
      </c>
      <c r="J7">
        <v>104.5</v>
      </c>
      <c r="K7">
        <v>104.2</v>
      </c>
      <c r="L7">
        <f>'All_India_Index_Upto_April23 (1'!Z7+'All_India_Index_Upto_April23 (1'!AA7+'All_India_Index_Upto_April23 (1'!AB7+'All_India_Index_Upto_April23 (1'!AC7+'All_India_Index_Upto_April23 (1'!AD7</f>
        <v>521.69999999999993</v>
      </c>
      <c r="M7">
        <f t="shared" si="0"/>
        <v>2851.5999999999995</v>
      </c>
      <c r="N7">
        <f t="shared" si="1"/>
        <v>40.72099873755085</v>
      </c>
      <c r="O7">
        <f t="shared" si="2"/>
        <v>7.8201711319960747</v>
      </c>
      <c r="P7">
        <f t="shared" si="3"/>
        <v>3.7066909805021755</v>
      </c>
      <c r="Q7">
        <f t="shared" si="4"/>
        <v>11.211249824659841</v>
      </c>
      <c r="R7">
        <f t="shared" si="5"/>
        <v>7.2099873755084891</v>
      </c>
      <c r="S7">
        <f t="shared" si="6"/>
        <v>3.7172113900967885</v>
      </c>
      <c r="T7">
        <f t="shared" si="7"/>
        <v>3.6646093421237209</v>
      </c>
      <c r="U7">
        <f t="shared" si="8"/>
        <v>3.654088932529107</v>
      </c>
      <c r="V7">
        <f t="shared" si="9"/>
        <v>18.294992285032965</v>
      </c>
      <c r="W7">
        <f t="shared" si="10"/>
        <v>100.00000000000001</v>
      </c>
    </row>
    <row r="8" spans="1:23" x14ac:dyDescent="0.3">
      <c r="A8" t="s">
        <v>30</v>
      </c>
      <c r="B8">
        <v>2013</v>
      </c>
      <c r="C8" t="s">
        <v>35</v>
      </c>
      <c r="D8">
        <f>'All_India_Index_Upto_April23 (1'!D8+'All_India_Index_Upto_April23 (1'!G8+'All_India_Index_Upto_April23 (1'!H8+'All_India_Index_Upto_April23 (1'!I8+'All_India_Index_Upto_April23 (1'!J8+'All_India_Index_Upto_April23 (1'!K8+'All_India_Index_Upto_April23 (1'!L8+'All_India_Index_Upto_April23 (1'!M8+'All_India_Index_Upto_April23 (1'!N8+'All_India_Index_Upto_April23 (1'!O8+'All_India_Index_Upto_April23 (1'!P8</f>
        <v>1163.5</v>
      </c>
      <c r="E8">
        <f>'All_India_Index_Upto_April23 (1'!E8+'All_India_Index_Upto_April23 (1'!F8</f>
        <v>218.7</v>
      </c>
      <c r="F8">
        <v>106.5</v>
      </c>
      <c r="G8">
        <f>'All_India_Index_Upto_April23 (1'!R8+'All_India_Index_Upto_April23 (1'!S8+'All_India_Index_Upto_April23 (1'!T8</f>
        <v>321.89999999999998</v>
      </c>
      <c r="H8">
        <f>'All_India_Index_Upto_April23 (1'!U8+'All_India_Index_Upto_April23 (1'!W8</f>
        <v>105.6</v>
      </c>
      <c r="I8">
        <v>106.1</v>
      </c>
      <c r="J8">
        <v>104.7</v>
      </c>
      <c r="K8">
        <v>104.6</v>
      </c>
      <c r="L8">
        <f>'All_India_Index_Upto_April23 (1'!Z8+'All_India_Index_Upto_April23 (1'!AA8+'All_India_Index_Upto_April23 (1'!AB8+'All_India_Index_Upto_April23 (1'!AC8+'All_India_Index_Upto_April23 (1'!AD8</f>
        <v>523.20000000000005</v>
      </c>
      <c r="M8">
        <f t="shared" si="0"/>
        <v>2754.7999999999993</v>
      </c>
      <c r="N8">
        <f t="shared" si="1"/>
        <v>42.235370988819525</v>
      </c>
      <c r="O8">
        <f t="shared" si="2"/>
        <v>7.9388703354145509</v>
      </c>
      <c r="P8">
        <f t="shared" si="3"/>
        <v>3.8659793814432999</v>
      </c>
      <c r="Q8">
        <f t="shared" si="4"/>
        <v>11.68505880644693</v>
      </c>
      <c r="R8">
        <f t="shared" si="5"/>
        <v>3.8333091331494131</v>
      </c>
      <c r="S8">
        <f t="shared" si="6"/>
        <v>3.8514592710904614</v>
      </c>
      <c r="T8">
        <f t="shared" si="7"/>
        <v>3.8006388848555264</v>
      </c>
      <c r="U8">
        <f t="shared" si="8"/>
        <v>3.7970088572673157</v>
      </c>
      <c r="V8">
        <f t="shared" si="9"/>
        <v>18.992304341513002</v>
      </c>
      <c r="W8">
        <f t="shared" si="10"/>
        <v>100.00000000000003</v>
      </c>
    </row>
    <row r="9" spans="1:23" x14ac:dyDescent="0.3">
      <c r="A9" t="s">
        <v>32</v>
      </c>
      <c r="B9">
        <v>2013</v>
      </c>
      <c r="C9" t="s">
        <v>35</v>
      </c>
      <c r="D9">
        <f>'All_India_Index_Upto_April23 (1'!D9+'All_India_Index_Upto_April23 (1'!G9+'All_India_Index_Upto_April23 (1'!H9+'All_India_Index_Upto_April23 (1'!I9+'All_India_Index_Upto_April23 (1'!J9+'All_India_Index_Upto_April23 (1'!K9+'All_India_Index_Upto_April23 (1'!L9+'All_India_Index_Upto_April23 (1'!M9+'All_India_Index_Upto_April23 (1'!N9+'All_India_Index_Upto_April23 (1'!O9+'All_India_Index_Upto_April23 (1'!P9</f>
        <v>1162.1999999999998</v>
      </c>
      <c r="E9">
        <f>'All_India_Index_Upto_April23 (1'!E9+'All_India_Index_Upto_April23 (1'!F9</f>
        <v>224.60000000000002</v>
      </c>
      <c r="F9">
        <v>106.8</v>
      </c>
      <c r="G9">
        <f>'All_India_Index_Upto_April23 (1'!R9+'All_India_Index_Upto_April23 (1'!S9+'All_India_Index_Upto_April23 (1'!T9</f>
        <v>320.2</v>
      </c>
      <c r="H9">
        <f>'All_India_Index_Upto_April23 (1'!U9+'All_India_Index_Upto_April23 (1'!W9</f>
        <v>206.10000000000002</v>
      </c>
      <c r="I9">
        <v>106</v>
      </c>
      <c r="J9">
        <v>105.2</v>
      </c>
      <c r="K9">
        <v>105.5</v>
      </c>
      <c r="L9">
        <f>'All_India_Index_Upto_April23 (1'!Z9+'All_India_Index_Upto_April23 (1'!AA9+'All_India_Index_Upto_April23 (1'!AB9+'All_India_Index_Upto_April23 (1'!AC9+'All_India_Index_Upto_April23 (1'!AD9</f>
        <v>521.4</v>
      </c>
      <c r="M9">
        <f t="shared" si="0"/>
        <v>2857.9999999999995</v>
      </c>
      <c r="N9">
        <f t="shared" si="1"/>
        <v>40.664800559832045</v>
      </c>
      <c r="O9">
        <f t="shared" si="2"/>
        <v>7.8586424072778192</v>
      </c>
      <c r="P9">
        <f t="shared" si="3"/>
        <v>3.7368789363191048</v>
      </c>
      <c r="Q9">
        <f t="shared" si="4"/>
        <v>11.203638908327502</v>
      </c>
      <c r="R9">
        <f t="shared" si="5"/>
        <v>7.2113365990202958</v>
      </c>
      <c r="S9">
        <f t="shared" si="6"/>
        <v>3.7088873337998609</v>
      </c>
      <c r="T9">
        <f t="shared" si="7"/>
        <v>3.6808957312806165</v>
      </c>
      <c r="U9">
        <f t="shared" si="8"/>
        <v>3.6913925822253328</v>
      </c>
      <c r="V9">
        <f t="shared" si="9"/>
        <v>18.243526941917427</v>
      </c>
      <c r="W9">
        <f t="shared" si="10"/>
        <v>100.00000000000001</v>
      </c>
    </row>
    <row r="10" spans="1:23" x14ac:dyDescent="0.3">
      <c r="A10" t="s">
        <v>33</v>
      </c>
      <c r="B10">
        <v>2013</v>
      </c>
      <c r="C10" t="s">
        <v>35</v>
      </c>
      <c r="D10">
        <f>'All_India_Index_Upto_April23 (1'!D10+'All_India_Index_Upto_April23 (1'!G10+'All_India_Index_Upto_April23 (1'!H10+'All_India_Index_Upto_April23 (1'!I10+'All_India_Index_Upto_April23 (1'!J10+'All_India_Index_Upto_April23 (1'!K10+'All_India_Index_Upto_April23 (1'!L10+'All_India_Index_Upto_April23 (1'!M10+'All_India_Index_Upto_April23 (1'!N10+'All_India_Index_Upto_April23 (1'!O10+'All_India_Index_Upto_April23 (1'!P10</f>
        <v>1163.1000000000001</v>
      </c>
      <c r="E10">
        <f>'All_India_Index_Upto_April23 (1'!E10+'All_India_Index_Upto_April23 (1'!F10</f>
        <v>220.9</v>
      </c>
      <c r="F10">
        <v>106.6</v>
      </c>
      <c r="G10">
        <f>'All_India_Index_Upto_April23 (1'!R10+'All_India_Index_Upto_April23 (1'!S10+'All_India_Index_Upto_April23 (1'!T10</f>
        <v>321.2</v>
      </c>
      <c r="H10">
        <f>'All_India_Index_Upto_April23 (1'!U10+'All_India_Index_Upto_April23 (1'!W10</f>
        <v>206</v>
      </c>
      <c r="I10">
        <v>106.1</v>
      </c>
      <c r="J10">
        <v>104.9</v>
      </c>
      <c r="K10">
        <v>105.1</v>
      </c>
      <c r="L10">
        <f>'All_India_Index_Upto_April23 (1'!Z10+'All_India_Index_Upto_April23 (1'!AA10+'All_India_Index_Upto_April23 (1'!AB10+'All_India_Index_Upto_April23 (1'!AC10+'All_India_Index_Upto_April23 (1'!AD10</f>
        <v>522.20000000000005</v>
      </c>
      <c r="M10">
        <f t="shared" si="0"/>
        <v>2856.1000000000004</v>
      </c>
      <c r="N10">
        <f t="shared" si="1"/>
        <v>40.723364027870176</v>
      </c>
      <c r="O10">
        <f t="shared" si="2"/>
        <v>7.7343230279051847</v>
      </c>
      <c r="P10">
        <f t="shared" si="3"/>
        <v>3.7323623122439682</v>
      </c>
      <c r="Q10">
        <f t="shared" si="4"/>
        <v>11.246104828262315</v>
      </c>
      <c r="R10">
        <f t="shared" si="5"/>
        <v>7.212632610902979</v>
      </c>
      <c r="S10">
        <f t="shared" si="6"/>
        <v>3.7148559224116799</v>
      </c>
      <c r="T10">
        <f t="shared" si="7"/>
        <v>3.6728405868141869</v>
      </c>
      <c r="U10">
        <f t="shared" si="8"/>
        <v>3.6798431427471021</v>
      </c>
      <c r="V10">
        <f t="shared" si="9"/>
        <v>18.283673540842408</v>
      </c>
      <c r="W10">
        <f t="shared" si="10"/>
        <v>100</v>
      </c>
    </row>
    <row r="11" spans="1:23" x14ac:dyDescent="0.3">
      <c r="A11" t="s">
        <v>30</v>
      </c>
      <c r="B11">
        <v>2013</v>
      </c>
      <c r="C11" t="s">
        <v>36</v>
      </c>
      <c r="D11">
        <f>'All_India_Index_Upto_April23 (1'!D11+'All_India_Index_Upto_April23 (1'!G11+'All_India_Index_Upto_April23 (1'!H11+'All_India_Index_Upto_April23 (1'!I11+'All_India_Index_Upto_April23 (1'!J11+'All_India_Index_Upto_April23 (1'!K11+'All_India_Index_Upto_April23 (1'!L11+'All_India_Index_Upto_April23 (1'!M11+'All_India_Index_Upto_April23 (1'!N11+'All_India_Index_Upto_April23 (1'!O11+'All_India_Index_Upto_April23 (1'!P11</f>
        <v>1169.4000000000001</v>
      </c>
      <c r="E11">
        <f>'All_India_Index_Upto_April23 (1'!E11+'All_India_Index_Upto_April23 (1'!F11</f>
        <v>216.4</v>
      </c>
      <c r="F11">
        <v>107.1</v>
      </c>
      <c r="G11">
        <f>'All_India_Index_Upto_April23 (1'!R11+'All_India_Index_Upto_April23 (1'!S11+'All_India_Index_Upto_April23 (1'!T11</f>
        <v>323.5</v>
      </c>
      <c r="H11">
        <f>'All_India_Index_Upto_April23 (1'!U11+'All_India_Index_Upto_April23 (1'!W11</f>
        <v>106.1</v>
      </c>
      <c r="I11">
        <v>106.5</v>
      </c>
      <c r="J11">
        <v>105.1</v>
      </c>
      <c r="K11">
        <v>104.4</v>
      </c>
      <c r="L11">
        <f>'All_India_Index_Upto_April23 (1'!Z11+'All_India_Index_Upto_April23 (1'!AA11+'All_India_Index_Upto_April23 (1'!AB11+'All_India_Index_Upto_April23 (1'!AC11+'All_India_Index_Upto_April23 (1'!AD11</f>
        <v>523</v>
      </c>
      <c r="M11">
        <f t="shared" si="0"/>
        <v>2761.5</v>
      </c>
      <c r="N11">
        <f t="shared" si="1"/>
        <v>42.346550787615428</v>
      </c>
      <c r="O11">
        <f t="shared" si="2"/>
        <v>7.8363208401231219</v>
      </c>
      <c r="P11">
        <f t="shared" si="3"/>
        <v>3.8783269961977189</v>
      </c>
      <c r="Q11">
        <f t="shared" si="4"/>
        <v>11.714647836320841</v>
      </c>
      <c r="R11">
        <f t="shared" si="5"/>
        <v>3.8421147926851349</v>
      </c>
      <c r="S11">
        <f t="shared" si="6"/>
        <v>3.8565996740901687</v>
      </c>
      <c r="T11">
        <f t="shared" si="7"/>
        <v>3.8059025891725509</v>
      </c>
      <c r="U11">
        <f t="shared" si="8"/>
        <v>3.7805540467137426</v>
      </c>
      <c r="V11">
        <f t="shared" si="9"/>
        <v>18.938982437081297</v>
      </c>
      <c r="W11">
        <f t="shared" si="10"/>
        <v>100</v>
      </c>
    </row>
    <row r="12" spans="1:23" x14ac:dyDescent="0.3">
      <c r="A12" t="s">
        <v>32</v>
      </c>
      <c r="B12">
        <v>2013</v>
      </c>
      <c r="C12" t="s">
        <v>36</v>
      </c>
      <c r="D12">
        <f>'All_India_Index_Upto_April23 (1'!D12+'All_India_Index_Upto_April23 (1'!G12+'All_India_Index_Upto_April23 (1'!H12+'All_India_Index_Upto_April23 (1'!I12+'All_India_Index_Upto_April23 (1'!J12+'All_India_Index_Upto_April23 (1'!K12+'All_India_Index_Upto_April23 (1'!L12+'All_India_Index_Upto_April23 (1'!M12+'All_India_Index_Upto_April23 (1'!N12+'All_India_Index_Upto_April23 (1'!O12+'All_India_Index_Upto_April23 (1'!P12</f>
        <v>1178.3</v>
      </c>
      <c r="E12">
        <f>'All_India_Index_Upto_April23 (1'!E12+'All_India_Index_Upto_April23 (1'!F12</f>
        <v>219.4</v>
      </c>
      <c r="F12">
        <v>108.5</v>
      </c>
      <c r="G12">
        <f>'All_India_Index_Upto_April23 (1'!R12+'All_India_Index_Upto_April23 (1'!S12+'All_India_Index_Upto_April23 (1'!T12</f>
        <v>322</v>
      </c>
      <c r="H12">
        <f>'All_India_Index_Upto_April23 (1'!U12+'All_India_Index_Upto_April23 (1'!W12</f>
        <v>207</v>
      </c>
      <c r="I12">
        <v>106.4</v>
      </c>
      <c r="J12">
        <v>105.7</v>
      </c>
      <c r="K12">
        <v>105</v>
      </c>
      <c r="L12">
        <f>'All_India_Index_Upto_April23 (1'!Z12+'All_India_Index_Upto_April23 (1'!AA12+'All_India_Index_Upto_April23 (1'!AB12+'All_India_Index_Upto_April23 (1'!AC12+'All_India_Index_Upto_April23 (1'!AD12</f>
        <v>523.20000000000005</v>
      </c>
      <c r="M12">
        <f t="shared" si="0"/>
        <v>2875.5</v>
      </c>
      <c r="N12">
        <f t="shared" si="1"/>
        <v>40.977221352808208</v>
      </c>
      <c r="O12">
        <f t="shared" si="2"/>
        <v>7.6299773952356116</v>
      </c>
      <c r="P12">
        <f t="shared" si="3"/>
        <v>3.7732568249000176</v>
      </c>
      <c r="Q12">
        <f t="shared" si="4"/>
        <v>11.198052512606504</v>
      </c>
      <c r="R12">
        <f t="shared" si="5"/>
        <v>7.1987480438184663</v>
      </c>
      <c r="S12">
        <f t="shared" si="6"/>
        <v>3.7002260476438882</v>
      </c>
      <c r="T12">
        <f t="shared" si="7"/>
        <v>3.6758824552251781</v>
      </c>
      <c r="U12">
        <f t="shared" si="8"/>
        <v>3.6515388628064684</v>
      </c>
      <c r="V12">
        <f t="shared" si="9"/>
        <v>18.195096504955661</v>
      </c>
      <c r="W12">
        <f t="shared" si="10"/>
        <v>100.00000000000001</v>
      </c>
    </row>
    <row r="13" spans="1:23" x14ac:dyDescent="0.3">
      <c r="A13" t="s">
        <v>33</v>
      </c>
      <c r="B13">
        <v>2013</v>
      </c>
      <c r="C13" t="s">
        <v>36</v>
      </c>
      <c r="D13">
        <f>'All_India_Index_Upto_April23 (1'!D13+'All_India_Index_Upto_April23 (1'!G13+'All_India_Index_Upto_April23 (1'!H13+'All_India_Index_Upto_April23 (1'!I13+'All_India_Index_Upto_April23 (1'!J13+'All_India_Index_Upto_April23 (1'!K13+'All_India_Index_Upto_April23 (1'!L13+'All_India_Index_Upto_April23 (1'!M13+'All_India_Index_Upto_April23 (1'!N13+'All_India_Index_Upto_April23 (1'!O13+'All_India_Index_Upto_April23 (1'!P13</f>
        <v>1172.7</v>
      </c>
      <c r="E13">
        <f>'All_India_Index_Upto_April23 (1'!E13+'All_India_Index_Upto_April23 (1'!F13</f>
        <v>217.5</v>
      </c>
      <c r="F13">
        <v>107.5</v>
      </c>
      <c r="G13">
        <f>'All_India_Index_Upto_April23 (1'!R13+'All_India_Index_Upto_April23 (1'!S13+'All_India_Index_Upto_April23 (1'!T13</f>
        <v>322.89999999999998</v>
      </c>
      <c r="H13">
        <f>'All_India_Index_Upto_April23 (1'!U13+'All_India_Index_Upto_April23 (1'!W13</f>
        <v>206.8</v>
      </c>
      <c r="I13">
        <v>106.5</v>
      </c>
      <c r="J13">
        <v>105.3</v>
      </c>
      <c r="K13">
        <v>104.7</v>
      </c>
      <c r="L13">
        <f>'All_India_Index_Upto_April23 (1'!Z13+'All_India_Index_Upto_April23 (1'!AA13+'All_India_Index_Upto_April23 (1'!AB13+'All_India_Index_Upto_April23 (1'!AC13+'All_India_Index_Upto_April23 (1'!AD13</f>
        <v>523</v>
      </c>
      <c r="M13">
        <f t="shared" si="0"/>
        <v>2866.8999999999996</v>
      </c>
      <c r="N13">
        <f t="shared" si="1"/>
        <v>40.904810073598668</v>
      </c>
      <c r="O13">
        <f t="shared" si="2"/>
        <v>7.586591789040428</v>
      </c>
      <c r="P13">
        <f t="shared" si="3"/>
        <v>3.7496947922843491</v>
      </c>
      <c r="Q13">
        <f t="shared" si="4"/>
        <v>11.263036729568524</v>
      </c>
      <c r="R13">
        <f t="shared" si="5"/>
        <v>7.2133663539014279</v>
      </c>
      <c r="S13">
        <f t="shared" si="6"/>
        <v>3.7148139104956575</v>
      </c>
      <c r="T13">
        <f t="shared" si="7"/>
        <v>3.6729568523492273</v>
      </c>
      <c r="U13">
        <f t="shared" si="8"/>
        <v>3.6520283232760131</v>
      </c>
      <c r="V13">
        <f t="shared" si="9"/>
        <v>18.242701175485717</v>
      </c>
      <c r="W13">
        <f t="shared" si="10"/>
        <v>100.00000000000003</v>
      </c>
    </row>
    <row r="14" spans="1:23" x14ac:dyDescent="0.3">
      <c r="A14" t="s">
        <v>30</v>
      </c>
      <c r="B14">
        <v>2013</v>
      </c>
      <c r="C14" t="s">
        <v>37</v>
      </c>
      <c r="D14">
        <f>'All_India_Index_Upto_April23 (1'!D14+'All_India_Index_Upto_April23 (1'!G14+'All_India_Index_Upto_April23 (1'!H14+'All_India_Index_Upto_April23 (1'!I14+'All_India_Index_Upto_April23 (1'!J14+'All_India_Index_Upto_April23 (1'!K14+'All_India_Index_Upto_April23 (1'!L14+'All_India_Index_Upto_April23 (1'!M14+'All_India_Index_Upto_April23 (1'!N14+'All_India_Index_Upto_April23 (1'!O14+'All_India_Index_Upto_April23 (1'!P14</f>
        <v>1178.3</v>
      </c>
      <c r="E14">
        <f>'All_India_Index_Upto_April23 (1'!E14+'All_India_Index_Upto_April23 (1'!F14</f>
        <v>215.7</v>
      </c>
      <c r="F14">
        <v>108.1</v>
      </c>
      <c r="G14">
        <f>'All_India_Index_Upto_April23 (1'!R14+'All_India_Index_Upto_April23 (1'!S14+'All_India_Index_Upto_April23 (1'!T14</f>
        <v>325.29999999999995</v>
      </c>
      <c r="H14">
        <f>'All_India_Index_Upto_April23 (1'!U14+'All_India_Index_Upto_April23 (1'!W14</f>
        <v>106.8</v>
      </c>
      <c r="I14">
        <v>107.5</v>
      </c>
      <c r="J14">
        <v>105.7</v>
      </c>
      <c r="K14">
        <v>104.1</v>
      </c>
      <c r="L14">
        <f>'All_India_Index_Upto_April23 (1'!Z14+'All_India_Index_Upto_April23 (1'!AA14+'All_India_Index_Upto_April23 (1'!AB14+'All_India_Index_Upto_April23 (1'!AC14+'All_India_Index_Upto_April23 (1'!AD14</f>
        <v>524.6</v>
      </c>
      <c r="M14">
        <f t="shared" si="0"/>
        <v>2776.0999999999995</v>
      </c>
      <c r="N14">
        <f t="shared" si="1"/>
        <v>42.444436439609525</v>
      </c>
      <c r="O14">
        <f t="shared" si="2"/>
        <v>7.7698930153812924</v>
      </c>
      <c r="P14">
        <f t="shared" si="3"/>
        <v>3.8939519469759745</v>
      </c>
      <c r="Q14">
        <f t="shared" si="4"/>
        <v>11.717877598069235</v>
      </c>
      <c r="R14">
        <f t="shared" si="5"/>
        <v>3.8471236626922667</v>
      </c>
      <c r="S14">
        <f t="shared" si="6"/>
        <v>3.8723388926911864</v>
      </c>
      <c r="T14">
        <f t="shared" si="7"/>
        <v>3.8074997298368225</v>
      </c>
      <c r="U14">
        <f t="shared" si="8"/>
        <v>3.7498649184107204</v>
      </c>
      <c r="V14">
        <f t="shared" si="9"/>
        <v>18.897013796332988</v>
      </c>
      <c r="W14">
        <f t="shared" si="10"/>
        <v>100.00000000000001</v>
      </c>
    </row>
    <row r="15" spans="1:23" x14ac:dyDescent="0.3">
      <c r="A15" t="s">
        <v>32</v>
      </c>
      <c r="B15">
        <v>2013</v>
      </c>
      <c r="C15" t="s">
        <v>37</v>
      </c>
      <c r="D15">
        <f>'All_India_Index_Upto_April23 (1'!D15+'All_India_Index_Upto_April23 (1'!G15+'All_India_Index_Upto_April23 (1'!H15+'All_India_Index_Upto_April23 (1'!I15+'All_India_Index_Upto_April23 (1'!J15+'All_India_Index_Upto_April23 (1'!K15+'All_India_Index_Upto_April23 (1'!L15+'All_India_Index_Upto_April23 (1'!M15+'All_India_Index_Upto_April23 (1'!N15+'All_India_Index_Upto_April23 (1'!O15+'All_India_Index_Upto_April23 (1'!P15</f>
        <v>1200.3</v>
      </c>
      <c r="E15">
        <f>'All_India_Index_Upto_April23 (1'!E15+'All_India_Index_Upto_April23 (1'!F15</f>
        <v>216.9</v>
      </c>
      <c r="F15">
        <v>109.8</v>
      </c>
      <c r="G15">
        <f>'All_India_Index_Upto_April23 (1'!R15+'All_India_Index_Upto_April23 (1'!S15+'All_India_Index_Upto_April23 (1'!T15</f>
        <v>323.5</v>
      </c>
      <c r="H15">
        <f>'All_India_Index_Upto_April23 (1'!U15+'All_India_Index_Upto_April23 (1'!W15</f>
        <v>207.6</v>
      </c>
      <c r="I15">
        <v>107.2</v>
      </c>
      <c r="J15">
        <v>106.2</v>
      </c>
      <c r="K15">
        <v>103.9</v>
      </c>
      <c r="L15">
        <f>'All_India_Index_Upto_April23 (1'!Z15+'All_India_Index_Upto_April23 (1'!AA15+'All_India_Index_Upto_April23 (1'!AB15+'All_India_Index_Upto_April23 (1'!AC15+'All_India_Index_Upto_April23 (1'!AD15</f>
        <v>524.4</v>
      </c>
      <c r="M15">
        <f t="shared" si="0"/>
        <v>2899.7999999999997</v>
      </c>
      <c r="N15">
        <f t="shared" si="1"/>
        <v>41.392509828264018</v>
      </c>
      <c r="O15">
        <f t="shared" si="2"/>
        <v>7.479826194909994</v>
      </c>
      <c r="P15">
        <f t="shared" si="3"/>
        <v>3.7864680322780884</v>
      </c>
      <c r="Q15">
        <f t="shared" si="4"/>
        <v>11.155941789088903</v>
      </c>
      <c r="R15">
        <f t="shared" si="5"/>
        <v>7.1591144216842544</v>
      </c>
      <c r="S15">
        <f t="shared" si="6"/>
        <v>3.6968066763225051</v>
      </c>
      <c r="T15">
        <f t="shared" si="7"/>
        <v>3.6623215394165118</v>
      </c>
      <c r="U15">
        <f t="shared" si="8"/>
        <v>3.5830057245327271</v>
      </c>
      <c r="V15">
        <f t="shared" si="9"/>
        <v>18.084005793503003</v>
      </c>
      <c r="W15">
        <f t="shared" si="10"/>
        <v>100</v>
      </c>
    </row>
    <row r="16" spans="1:23" x14ac:dyDescent="0.3">
      <c r="A16" t="s">
        <v>33</v>
      </c>
      <c r="B16">
        <v>2013</v>
      </c>
      <c r="C16" t="s">
        <v>37</v>
      </c>
      <c r="D16">
        <f>'All_India_Index_Upto_April23 (1'!D16+'All_India_Index_Upto_April23 (1'!G16+'All_India_Index_Upto_April23 (1'!H16+'All_India_Index_Upto_April23 (1'!I16+'All_India_Index_Upto_April23 (1'!J16+'All_India_Index_Upto_April23 (1'!K16+'All_India_Index_Upto_April23 (1'!L16+'All_India_Index_Upto_April23 (1'!M16+'All_India_Index_Upto_April23 (1'!N16+'All_India_Index_Upto_April23 (1'!O16+'All_India_Index_Upto_April23 (1'!P16</f>
        <v>1186.2</v>
      </c>
      <c r="E16">
        <f>'All_India_Index_Upto_April23 (1'!E16+'All_India_Index_Upto_April23 (1'!F16</f>
        <v>216</v>
      </c>
      <c r="F16">
        <v>108.6</v>
      </c>
      <c r="G16">
        <f>'All_India_Index_Upto_April23 (1'!R16+'All_India_Index_Upto_April23 (1'!S16+'All_India_Index_Upto_April23 (1'!T16</f>
        <v>324.60000000000002</v>
      </c>
      <c r="H16">
        <f>'All_India_Index_Upto_April23 (1'!U16+'All_India_Index_Upto_April23 (1'!W16</f>
        <v>207.4</v>
      </c>
      <c r="I16">
        <v>107.4</v>
      </c>
      <c r="J16">
        <v>105.9</v>
      </c>
      <c r="K16">
        <v>104</v>
      </c>
      <c r="L16">
        <f>'All_India_Index_Upto_April23 (1'!Z16+'All_India_Index_Upto_April23 (1'!AA16+'All_India_Index_Upto_April23 (1'!AB16+'All_India_Index_Upto_April23 (1'!AC16+'All_India_Index_Upto_April23 (1'!AD16</f>
        <v>524.4</v>
      </c>
      <c r="M16">
        <f t="shared" si="0"/>
        <v>2884.5000000000005</v>
      </c>
      <c r="N16">
        <f t="shared" si="1"/>
        <v>41.123244929797188</v>
      </c>
      <c r="O16">
        <f t="shared" si="2"/>
        <v>7.4882995319812782</v>
      </c>
      <c r="P16">
        <f t="shared" si="3"/>
        <v>3.7649505980239204</v>
      </c>
      <c r="Q16">
        <f t="shared" si="4"/>
        <v>11.253250130005199</v>
      </c>
      <c r="R16">
        <f t="shared" si="5"/>
        <v>7.1901542728375789</v>
      </c>
      <c r="S16">
        <f t="shared" si="6"/>
        <v>3.7233489339573578</v>
      </c>
      <c r="T16">
        <f t="shared" si="7"/>
        <v>3.6713468538741543</v>
      </c>
      <c r="U16">
        <f t="shared" si="8"/>
        <v>3.6054775524354299</v>
      </c>
      <c r="V16">
        <f t="shared" si="9"/>
        <v>18.179927197087881</v>
      </c>
      <c r="W16">
        <f t="shared" si="10"/>
        <v>99.999999999999986</v>
      </c>
    </row>
    <row r="17" spans="1:23" x14ac:dyDescent="0.3">
      <c r="A17" t="s">
        <v>30</v>
      </c>
      <c r="B17">
        <v>2013</v>
      </c>
      <c r="C17" t="s">
        <v>38</v>
      </c>
      <c r="D17">
        <f>'All_India_Index_Upto_April23 (1'!D17+'All_India_Index_Upto_April23 (1'!G17+'All_India_Index_Upto_April23 (1'!H17+'All_India_Index_Upto_April23 (1'!I17+'All_India_Index_Upto_April23 (1'!J17+'All_India_Index_Upto_April23 (1'!K17+'All_India_Index_Upto_April23 (1'!L17+'All_India_Index_Upto_April23 (1'!M17+'All_India_Index_Upto_April23 (1'!N17+'All_India_Index_Upto_April23 (1'!O17+'All_India_Index_Upto_April23 (1'!P17</f>
        <v>1199.8</v>
      </c>
      <c r="E17">
        <f>'All_India_Index_Upto_April23 (1'!E17+'All_India_Index_Upto_April23 (1'!F17</f>
        <v>220.2</v>
      </c>
      <c r="F17">
        <v>109</v>
      </c>
      <c r="G17">
        <f>'All_India_Index_Upto_April23 (1'!R17+'All_India_Index_Upto_April23 (1'!S17+'All_India_Index_Upto_April23 (1'!T17</f>
        <v>328</v>
      </c>
      <c r="H17">
        <f>'All_India_Index_Upto_April23 (1'!U17+'All_India_Index_Upto_April23 (1'!W17</f>
        <v>107.5</v>
      </c>
      <c r="I17">
        <v>108.5</v>
      </c>
      <c r="J17">
        <v>106.3</v>
      </c>
      <c r="K17">
        <v>105</v>
      </c>
      <c r="L17">
        <f>'All_India_Index_Upto_April23 (1'!Z17+'All_India_Index_Upto_April23 (1'!AA17+'All_India_Index_Upto_April23 (1'!AB17+'All_India_Index_Upto_April23 (1'!AC17+'All_India_Index_Upto_April23 (1'!AD17</f>
        <v>529</v>
      </c>
      <c r="M17">
        <f t="shared" si="0"/>
        <v>2813.3</v>
      </c>
      <c r="N17">
        <f t="shared" si="1"/>
        <v>42.64742473252052</v>
      </c>
      <c r="O17">
        <f t="shared" si="2"/>
        <v>7.8271069562435569</v>
      </c>
      <c r="P17">
        <f t="shared" si="3"/>
        <v>3.8744534887854121</v>
      </c>
      <c r="Q17">
        <f t="shared" si="4"/>
        <v>11.658905911207478</v>
      </c>
      <c r="R17">
        <f t="shared" si="5"/>
        <v>3.8211353215085486</v>
      </c>
      <c r="S17">
        <f t="shared" si="6"/>
        <v>3.8566807663597906</v>
      </c>
      <c r="T17">
        <f t="shared" si="7"/>
        <v>3.7784807876870574</v>
      </c>
      <c r="U17">
        <f t="shared" si="8"/>
        <v>3.7322717093804427</v>
      </c>
      <c r="V17">
        <f t="shared" si="9"/>
        <v>18.803540326307182</v>
      </c>
      <c r="W17">
        <f t="shared" si="10"/>
        <v>99.999999999999986</v>
      </c>
    </row>
    <row r="18" spans="1:23" x14ac:dyDescent="0.3">
      <c r="A18" t="s">
        <v>32</v>
      </c>
      <c r="B18">
        <v>2013</v>
      </c>
      <c r="C18" t="s">
        <v>38</v>
      </c>
      <c r="D18">
        <f>'All_India_Index_Upto_April23 (1'!D18+'All_India_Index_Upto_April23 (1'!G18+'All_India_Index_Upto_April23 (1'!H18+'All_India_Index_Upto_April23 (1'!I18+'All_India_Index_Upto_April23 (1'!J18+'All_India_Index_Upto_April23 (1'!K18+'All_India_Index_Upto_April23 (1'!L18+'All_India_Index_Upto_April23 (1'!M18+'All_India_Index_Upto_April23 (1'!N18+'All_India_Index_Upto_April23 (1'!O18+'All_India_Index_Upto_April23 (1'!P18</f>
        <v>1232</v>
      </c>
      <c r="E18">
        <f>'All_India_Index_Upto_April23 (1'!E18+'All_India_Index_Upto_April23 (1'!F18</f>
        <v>232.6</v>
      </c>
      <c r="F18">
        <v>110.9</v>
      </c>
      <c r="G18">
        <f>'All_India_Index_Upto_April23 (1'!R18+'All_India_Index_Upto_April23 (1'!S18+'All_India_Index_Upto_April23 (1'!T18</f>
        <v>325.3</v>
      </c>
      <c r="H18">
        <f>'All_India_Index_Upto_April23 (1'!U18+'All_India_Index_Upto_April23 (1'!W18</f>
        <v>214.3</v>
      </c>
      <c r="I18">
        <v>108</v>
      </c>
      <c r="J18">
        <v>106.5</v>
      </c>
      <c r="K18">
        <v>105.2</v>
      </c>
      <c r="L18">
        <f>'All_India_Index_Upto_April23 (1'!Z18+'All_India_Index_Upto_April23 (1'!AA18+'All_India_Index_Upto_April23 (1'!AB18+'All_India_Index_Upto_April23 (1'!AC18+'All_India_Index_Upto_April23 (1'!AD18</f>
        <v>532.40000000000009</v>
      </c>
      <c r="M18">
        <f t="shared" si="0"/>
        <v>2967.2</v>
      </c>
      <c r="N18">
        <f t="shared" si="1"/>
        <v>41.5206255055271</v>
      </c>
      <c r="O18">
        <f t="shared" si="2"/>
        <v>7.8390401725532497</v>
      </c>
      <c r="P18">
        <f t="shared" si="3"/>
        <v>3.7375303316257753</v>
      </c>
      <c r="Q18">
        <f t="shared" si="4"/>
        <v>10.963197627392828</v>
      </c>
      <c r="R18">
        <f t="shared" si="5"/>
        <v>7.2222971151253716</v>
      </c>
      <c r="S18">
        <f t="shared" si="6"/>
        <v>3.6397950930169856</v>
      </c>
      <c r="T18">
        <f t="shared" si="7"/>
        <v>3.5892423833917499</v>
      </c>
      <c r="U18">
        <f t="shared" si="8"/>
        <v>3.5454300350498791</v>
      </c>
      <c r="V18">
        <f t="shared" si="9"/>
        <v>17.942841736317071</v>
      </c>
      <c r="W18">
        <f t="shared" si="10"/>
        <v>100</v>
      </c>
    </row>
    <row r="19" spans="1:23" x14ac:dyDescent="0.3">
      <c r="A19" t="s">
        <v>33</v>
      </c>
      <c r="B19">
        <v>2013</v>
      </c>
      <c r="C19" t="s">
        <v>38</v>
      </c>
      <c r="D19">
        <f>'All_India_Index_Upto_April23 (1'!D19+'All_India_Index_Upto_April23 (1'!G19+'All_India_Index_Upto_April23 (1'!H19+'All_India_Index_Upto_April23 (1'!I19+'All_India_Index_Upto_April23 (1'!J19+'All_India_Index_Upto_April23 (1'!K19+'All_India_Index_Upto_April23 (1'!L19+'All_India_Index_Upto_April23 (1'!M19+'All_India_Index_Upto_April23 (1'!N19+'All_India_Index_Upto_April23 (1'!O19+'All_India_Index_Upto_April23 (1'!P19</f>
        <v>1211.3</v>
      </c>
      <c r="E19">
        <f>'All_India_Index_Upto_April23 (1'!E19+'All_India_Index_Upto_April23 (1'!F19</f>
        <v>224.7</v>
      </c>
      <c r="F19">
        <v>109.5</v>
      </c>
      <c r="G19">
        <f>'All_India_Index_Upto_April23 (1'!R19+'All_India_Index_Upto_April23 (1'!S19+'All_India_Index_Upto_April23 (1'!T19</f>
        <v>326.89999999999998</v>
      </c>
      <c r="H19">
        <f>'All_India_Index_Upto_April23 (1'!U19+'All_India_Index_Upto_April23 (1'!W19</f>
        <v>214.2</v>
      </c>
      <c r="I19">
        <v>108.3</v>
      </c>
      <c r="J19">
        <v>106.4</v>
      </c>
      <c r="K19">
        <v>105.1</v>
      </c>
      <c r="L19">
        <f>'All_India_Index_Upto_April23 (1'!Z19+'All_India_Index_Upto_April23 (1'!AA19+'All_India_Index_Upto_April23 (1'!AB19+'All_India_Index_Upto_April23 (1'!AC19+'All_India_Index_Upto_April23 (1'!AD19</f>
        <v>530.70000000000005</v>
      </c>
      <c r="M19">
        <f t="shared" si="0"/>
        <v>2937.1000000000004</v>
      </c>
      <c r="N19">
        <f t="shared" si="1"/>
        <v>41.241360525688599</v>
      </c>
      <c r="O19">
        <f t="shared" si="2"/>
        <v>7.6504034591944423</v>
      </c>
      <c r="P19">
        <f t="shared" si="3"/>
        <v>3.7281672397943546</v>
      </c>
      <c r="Q19">
        <f t="shared" si="4"/>
        <v>11.130026216335839</v>
      </c>
      <c r="R19">
        <f t="shared" si="5"/>
        <v>7.2929079704470379</v>
      </c>
      <c r="S19">
        <f t="shared" si="6"/>
        <v>3.6873106125089365</v>
      </c>
      <c r="T19">
        <f t="shared" si="7"/>
        <v>3.622620952640359</v>
      </c>
      <c r="U19">
        <f t="shared" si="8"/>
        <v>3.57835960641449</v>
      </c>
      <c r="V19">
        <f t="shared" si="9"/>
        <v>18.068843416975927</v>
      </c>
      <c r="W19">
        <f t="shared" si="10"/>
        <v>99.999999999999986</v>
      </c>
    </row>
    <row r="20" spans="1:23" x14ac:dyDescent="0.3">
      <c r="A20" t="s">
        <v>30</v>
      </c>
      <c r="B20">
        <v>2013</v>
      </c>
      <c r="C20" t="s">
        <v>39</v>
      </c>
      <c r="D20">
        <f>'All_India_Index_Upto_April23 (1'!D20+'All_India_Index_Upto_April23 (1'!G20+'All_India_Index_Upto_April23 (1'!H20+'All_India_Index_Upto_April23 (1'!I20+'All_India_Index_Upto_April23 (1'!J20+'All_India_Index_Upto_April23 (1'!K20+'All_India_Index_Upto_April23 (1'!L20+'All_India_Index_Upto_April23 (1'!M20+'All_India_Index_Upto_April23 (1'!N20+'All_India_Index_Upto_April23 (1'!O20+'All_India_Index_Upto_April23 (1'!P20</f>
        <v>1220.4999999999998</v>
      </c>
      <c r="E20">
        <f>'All_India_Index_Upto_April23 (1'!E20+'All_India_Index_Upto_April23 (1'!F20</f>
        <v>225.4</v>
      </c>
      <c r="F20">
        <v>109.8</v>
      </c>
      <c r="G20">
        <f>'All_India_Index_Upto_April23 (1'!R20+'All_India_Index_Upto_April23 (1'!S20+'All_India_Index_Upto_April23 (1'!T20</f>
        <v>330.3</v>
      </c>
      <c r="H20">
        <f>'All_India_Index_Upto_April23 (1'!U20+'All_India_Index_Upto_April23 (1'!W20</f>
        <v>108.3</v>
      </c>
      <c r="I20">
        <v>109.5</v>
      </c>
      <c r="J20">
        <v>106.9</v>
      </c>
      <c r="K20">
        <v>106.8</v>
      </c>
      <c r="L20">
        <f>'All_India_Index_Upto_April23 (1'!Z20+'All_India_Index_Upto_April23 (1'!AA20+'All_India_Index_Upto_April23 (1'!AB20+'All_India_Index_Upto_April23 (1'!AC20+'All_India_Index_Upto_April23 (1'!AD20</f>
        <v>533.9</v>
      </c>
      <c r="M20">
        <f t="shared" si="0"/>
        <v>2851.4</v>
      </c>
      <c r="N20">
        <f t="shared" si="1"/>
        <v>42.803535105562169</v>
      </c>
      <c r="O20">
        <f t="shared" si="2"/>
        <v>7.9048888265413479</v>
      </c>
      <c r="P20">
        <f t="shared" si="3"/>
        <v>3.8507399873746224</v>
      </c>
      <c r="Q20">
        <f t="shared" si="4"/>
        <v>11.583783404643333</v>
      </c>
      <c r="R20">
        <f t="shared" si="5"/>
        <v>3.7981342498421826</v>
      </c>
      <c r="S20">
        <f t="shared" si="6"/>
        <v>3.8402188398681347</v>
      </c>
      <c r="T20">
        <f t="shared" si="7"/>
        <v>3.7490355614785718</v>
      </c>
      <c r="U20">
        <f t="shared" si="8"/>
        <v>3.7455285123097424</v>
      </c>
      <c r="V20">
        <f t="shared" si="9"/>
        <v>18.724135512379885</v>
      </c>
      <c r="W20">
        <f t="shared" si="10"/>
        <v>99.999999999999986</v>
      </c>
    </row>
    <row r="21" spans="1:23" x14ac:dyDescent="0.3">
      <c r="A21" t="s">
        <v>32</v>
      </c>
      <c r="B21">
        <v>2013</v>
      </c>
      <c r="C21" t="s">
        <v>39</v>
      </c>
      <c r="D21">
        <f>'All_India_Index_Upto_April23 (1'!D21+'All_India_Index_Upto_April23 (1'!G21+'All_India_Index_Upto_April23 (1'!H21+'All_India_Index_Upto_April23 (1'!I21+'All_India_Index_Upto_April23 (1'!J21+'All_India_Index_Upto_April23 (1'!K21+'All_India_Index_Upto_April23 (1'!L21+'All_India_Index_Upto_April23 (1'!M21+'All_India_Index_Upto_April23 (1'!N21+'All_India_Index_Upto_April23 (1'!O21+'All_India_Index_Upto_April23 (1'!P21</f>
        <v>1256.1999999999998</v>
      </c>
      <c r="E21">
        <f>'All_India_Index_Upto_April23 (1'!E21+'All_India_Index_Upto_April23 (1'!F21</f>
        <v>233.2</v>
      </c>
      <c r="F21">
        <v>111.7</v>
      </c>
      <c r="G21">
        <f>'All_India_Index_Upto_April23 (1'!R21+'All_India_Index_Upto_April23 (1'!S21+'All_India_Index_Upto_April23 (1'!T21</f>
        <v>327.10000000000002</v>
      </c>
      <c r="H21">
        <f>'All_India_Index_Upto_April23 (1'!U21+'All_India_Index_Upto_April23 (1'!W21</f>
        <v>215.8</v>
      </c>
      <c r="I21">
        <v>108.6</v>
      </c>
      <c r="J21">
        <v>107.1</v>
      </c>
      <c r="K21">
        <v>107.3</v>
      </c>
      <c r="L21">
        <f>'All_India_Index_Upto_April23 (1'!Z21+'All_India_Index_Upto_April23 (1'!AA21+'All_India_Index_Upto_April23 (1'!AB21+'All_India_Index_Upto_April23 (1'!AC21+'All_India_Index_Upto_April23 (1'!AD21</f>
        <v>537.9</v>
      </c>
      <c r="M21">
        <f t="shared" si="0"/>
        <v>3004.9</v>
      </c>
      <c r="N21">
        <f t="shared" si="1"/>
        <v>41.805051748810271</v>
      </c>
      <c r="O21">
        <f t="shared" si="2"/>
        <v>7.7606575925987551</v>
      </c>
      <c r="P21">
        <f t="shared" si="3"/>
        <v>3.7172618057173286</v>
      </c>
      <c r="Q21">
        <f t="shared" si="4"/>
        <v>10.885553595793537</v>
      </c>
      <c r="R21">
        <f t="shared" si="5"/>
        <v>7.1816033811441322</v>
      </c>
      <c r="S21">
        <f t="shared" si="6"/>
        <v>3.6140969749409293</v>
      </c>
      <c r="T21">
        <f t="shared" si="7"/>
        <v>3.5641785084362207</v>
      </c>
      <c r="U21">
        <f t="shared" si="8"/>
        <v>3.570834303970182</v>
      </c>
      <c r="V21">
        <f t="shared" si="9"/>
        <v>17.900762088588635</v>
      </c>
      <c r="W21">
        <f t="shared" si="10"/>
        <v>99.999999999999986</v>
      </c>
    </row>
    <row r="22" spans="1:23" x14ac:dyDescent="0.3">
      <c r="A22" t="s">
        <v>33</v>
      </c>
      <c r="B22">
        <v>2013</v>
      </c>
      <c r="C22" t="s">
        <v>39</v>
      </c>
      <c r="D22">
        <f>'All_India_Index_Upto_April23 (1'!D22+'All_India_Index_Upto_April23 (1'!G22+'All_India_Index_Upto_April23 (1'!H22+'All_India_Index_Upto_April23 (1'!I22+'All_India_Index_Upto_April23 (1'!J22+'All_India_Index_Upto_April23 (1'!K22+'All_India_Index_Upto_April23 (1'!L22+'All_India_Index_Upto_April23 (1'!M22+'All_India_Index_Upto_April23 (1'!N22+'All_India_Index_Upto_April23 (1'!O22+'All_India_Index_Upto_April23 (1'!P22</f>
        <v>1233.0999999999999</v>
      </c>
      <c r="E22">
        <f>'All_India_Index_Upto_April23 (1'!E22+'All_India_Index_Upto_April23 (1'!F22</f>
        <v>228.3</v>
      </c>
      <c r="F22">
        <v>110.3</v>
      </c>
      <c r="G22">
        <f>'All_India_Index_Upto_April23 (1'!R22+'All_India_Index_Upto_April23 (1'!S22+'All_India_Index_Upto_April23 (1'!T22</f>
        <v>329</v>
      </c>
      <c r="H22">
        <f>'All_India_Index_Upto_April23 (1'!U22+'All_India_Index_Upto_April23 (1'!W22</f>
        <v>215.9</v>
      </c>
      <c r="I22">
        <v>109.2</v>
      </c>
      <c r="J22">
        <v>107</v>
      </c>
      <c r="K22">
        <v>107.1</v>
      </c>
      <c r="L22">
        <f>'All_India_Index_Upto_April23 (1'!Z22+'All_India_Index_Upto_April23 (1'!AA22+'All_India_Index_Upto_April23 (1'!AB22+'All_India_Index_Upto_April23 (1'!AC22+'All_India_Index_Upto_April23 (1'!AD22</f>
        <v>535.9</v>
      </c>
      <c r="M22">
        <f t="shared" si="0"/>
        <v>2975.7999999999997</v>
      </c>
      <c r="N22">
        <f t="shared" si="1"/>
        <v>41.437596612675584</v>
      </c>
      <c r="O22">
        <f t="shared" si="2"/>
        <v>7.6718865515155592</v>
      </c>
      <c r="P22">
        <f t="shared" si="3"/>
        <v>3.7065663014987567</v>
      </c>
      <c r="Q22">
        <f t="shared" si="4"/>
        <v>11.055850527589222</v>
      </c>
      <c r="R22">
        <f t="shared" si="5"/>
        <v>7.2551918811748104</v>
      </c>
      <c r="S22">
        <f t="shared" si="6"/>
        <v>3.6696014517104651</v>
      </c>
      <c r="T22">
        <f t="shared" si="7"/>
        <v>3.5956717521338804</v>
      </c>
      <c r="U22">
        <f t="shared" si="8"/>
        <v>3.5990321930237248</v>
      </c>
      <c r="V22">
        <f t="shared" si="9"/>
        <v>18.008602728678003</v>
      </c>
      <c r="W22">
        <f t="shared" si="10"/>
        <v>100.00000000000001</v>
      </c>
    </row>
    <row r="23" spans="1:23" x14ac:dyDescent="0.3">
      <c r="A23" t="s">
        <v>30</v>
      </c>
      <c r="B23">
        <v>2013</v>
      </c>
      <c r="C23" t="s">
        <v>40</v>
      </c>
      <c r="D23">
        <f>'All_India_Index_Upto_April23 (1'!D23+'All_India_Index_Upto_April23 (1'!G23+'All_India_Index_Upto_April23 (1'!H23+'All_India_Index_Upto_April23 (1'!I23+'All_India_Index_Upto_April23 (1'!J23+'All_India_Index_Upto_April23 (1'!K23+'All_India_Index_Upto_April23 (1'!L23+'All_India_Index_Upto_April23 (1'!M23+'All_India_Index_Upto_April23 (1'!N23+'All_India_Index_Upto_April23 (1'!O23+'All_India_Index_Upto_April23 (1'!P23</f>
        <v>1236.0000000000002</v>
      </c>
      <c r="E23">
        <f>'All_India_Index_Upto_April23 (1'!E23+'All_India_Index_Upto_April23 (1'!F23</f>
        <v>226.5</v>
      </c>
      <c r="F23">
        <v>110.7</v>
      </c>
      <c r="G23">
        <f>'All_India_Index_Upto_April23 (1'!R23+'All_India_Index_Upto_April23 (1'!S23+'All_India_Index_Upto_April23 (1'!T23</f>
        <v>332.6</v>
      </c>
      <c r="H23">
        <f>'All_India_Index_Upto_April23 (1'!U23+'All_India_Index_Upto_April23 (1'!W23</f>
        <v>108.7</v>
      </c>
      <c r="I23">
        <v>109.9</v>
      </c>
      <c r="J23">
        <v>107.5</v>
      </c>
      <c r="K23">
        <v>107.8</v>
      </c>
      <c r="L23">
        <f>'All_India_Index_Upto_April23 (1'!Z23+'All_India_Index_Upto_April23 (1'!AA23+'All_India_Index_Upto_April23 (1'!AB23+'All_India_Index_Upto_April23 (1'!AC23+'All_India_Index_Upto_April23 (1'!AD23</f>
        <v>540.1</v>
      </c>
      <c r="M23">
        <f t="shared" si="0"/>
        <v>2879.8</v>
      </c>
      <c r="N23">
        <f t="shared" si="1"/>
        <v>42.919647197722071</v>
      </c>
      <c r="O23">
        <f t="shared" si="2"/>
        <v>7.8651295228835334</v>
      </c>
      <c r="P23">
        <f t="shared" si="3"/>
        <v>3.8440169456212239</v>
      </c>
      <c r="Q23">
        <f t="shared" si="4"/>
        <v>11.54941315369123</v>
      </c>
      <c r="R23">
        <f t="shared" si="5"/>
        <v>3.7745676783109938</v>
      </c>
      <c r="S23">
        <f t="shared" si="6"/>
        <v>3.8162372386971315</v>
      </c>
      <c r="T23">
        <f t="shared" si="7"/>
        <v>3.7328981179248557</v>
      </c>
      <c r="U23">
        <f t="shared" si="8"/>
        <v>3.7433155080213902</v>
      </c>
      <c r="V23">
        <f t="shared" si="9"/>
        <v>18.754774637127579</v>
      </c>
      <c r="W23">
        <f t="shared" si="10"/>
        <v>100.00000000000001</v>
      </c>
    </row>
    <row r="24" spans="1:23" x14ac:dyDescent="0.3">
      <c r="A24" t="s">
        <v>32</v>
      </c>
      <c r="B24">
        <v>2013</v>
      </c>
      <c r="C24" t="s">
        <v>40</v>
      </c>
      <c r="D24">
        <f>'All_India_Index_Upto_April23 (1'!D24+'All_India_Index_Upto_April23 (1'!G24+'All_India_Index_Upto_April23 (1'!H24+'All_India_Index_Upto_April23 (1'!I24+'All_India_Index_Upto_April23 (1'!J24+'All_India_Index_Upto_April23 (1'!K24+'All_India_Index_Upto_April23 (1'!L24+'All_India_Index_Upto_April23 (1'!M24+'All_India_Index_Upto_April23 (1'!N24+'All_India_Index_Upto_April23 (1'!O24+'All_India_Index_Upto_April23 (1'!P24</f>
        <v>1273</v>
      </c>
      <c r="E24">
        <f>'All_India_Index_Upto_April23 (1'!E24+'All_India_Index_Upto_April23 (1'!F24</f>
        <v>233.10000000000002</v>
      </c>
      <c r="F24">
        <v>112.4</v>
      </c>
      <c r="G24">
        <f>'All_India_Index_Upto_April23 (1'!R24+'All_India_Index_Upto_April23 (1'!S24+'All_India_Index_Upto_April23 (1'!T24</f>
        <v>329.09999999999997</v>
      </c>
      <c r="H24">
        <f>'All_India_Index_Upto_April23 (1'!U24+'All_India_Index_Upto_April23 (1'!W24</f>
        <v>217.60000000000002</v>
      </c>
      <c r="I24">
        <v>109.3</v>
      </c>
      <c r="J24">
        <v>107.6</v>
      </c>
      <c r="K24">
        <v>108.1</v>
      </c>
      <c r="L24">
        <f>'All_India_Index_Upto_April23 (1'!Z24+'All_India_Index_Upto_April23 (1'!AA24+'All_India_Index_Upto_April23 (1'!AB24+'All_India_Index_Upto_April23 (1'!AC24+'All_India_Index_Upto_April23 (1'!AD24</f>
        <v>544.30000000000007</v>
      </c>
      <c r="M24">
        <f t="shared" si="0"/>
        <v>3034.5</v>
      </c>
      <c r="N24">
        <f t="shared" si="1"/>
        <v>41.950898006261326</v>
      </c>
      <c r="O24">
        <f t="shared" si="2"/>
        <v>7.6816608996539806</v>
      </c>
      <c r="P24">
        <f t="shared" si="3"/>
        <v>3.7040698632394133</v>
      </c>
      <c r="Q24">
        <f t="shared" si="4"/>
        <v>10.845279288185862</v>
      </c>
      <c r="R24">
        <f t="shared" si="5"/>
        <v>7.1708683473389367</v>
      </c>
      <c r="S24">
        <f t="shared" si="6"/>
        <v>3.6019113527764048</v>
      </c>
      <c r="T24">
        <f t="shared" si="7"/>
        <v>3.5458889438128196</v>
      </c>
      <c r="U24">
        <f t="shared" si="8"/>
        <v>3.5623661229197556</v>
      </c>
      <c r="V24">
        <f t="shared" si="9"/>
        <v>17.937057175811503</v>
      </c>
      <c r="W24">
        <f t="shared" si="10"/>
        <v>100.00000000000001</v>
      </c>
    </row>
    <row r="25" spans="1:23" x14ac:dyDescent="0.3">
      <c r="A25" t="s">
        <v>33</v>
      </c>
      <c r="B25">
        <v>2013</v>
      </c>
      <c r="C25" t="s">
        <v>40</v>
      </c>
      <c r="D25">
        <f>'All_India_Index_Upto_April23 (1'!D25+'All_India_Index_Upto_April23 (1'!G25+'All_India_Index_Upto_April23 (1'!H25+'All_India_Index_Upto_April23 (1'!I25+'All_India_Index_Upto_April23 (1'!J25+'All_India_Index_Upto_April23 (1'!K25+'All_India_Index_Upto_April23 (1'!L25+'All_India_Index_Upto_April23 (1'!M25+'All_India_Index_Upto_April23 (1'!N25+'All_India_Index_Upto_April23 (1'!O25+'All_India_Index_Upto_April23 (1'!P25</f>
        <v>1248.5</v>
      </c>
      <c r="E25">
        <f>'All_India_Index_Upto_April23 (1'!E25+'All_India_Index_Upto_April23 (1'!F25</f>
        <v>228.9</v>
      </c>
      <c r="F25">
        <v>111.2</v>
      </c>
      <c r="G25">
        <f>'All_India_Index_Upto_April23 (1'!R25+'All_India_Index_Upto_April23 (1'!S25+'All_India_Index_Upto_April23 (1'!T25</f>
        <v>331.1</v>
      </c>
      <c r="H25">
        <f>'All_India_Index_Upto_April23 (1'!U25+'All_India_Index_Upto_April23 (1'!W25</f>
        <v>217.60000000000002</v>
      </c>
      <c r="I25">
        <v>109.7</v>
      </c>
      <c r="J25">
        <v>107.5</v>
      </c>
      <c r="K25">
        <v>108</v>
      </c>
      <c r="L25">
        <f>'All_India_Index_Upto_April23 (1'!Z25+'All_India_Index_Upto_April23 (1'!AA25+'All_India_Index_Upto_April23 (1'!AB25+'All_India_Index_Upto_April23 (1'!AC25+'All_India_Index_Upto_April23 (1'!AD25</f>
        <v>542.19999999999993</v>
      </c>
      <c r="M25">
        <f t="shared" si="0"/>
        <v>3004.7</v>
      </c>
      <c r="N25">
        <f t="shared" si="1"/>
        <v>41.551569208240423</v>
      </c>
      <c r="O25">
        <f t="shared" si="2"/>
        <v>7.6180650314507288</v>
      </c>
      <c r="P25">
        <f t="shared" si="3"/>
        <v>3.7008686391320267</v>
      </c>
      <c r="Q25">
        <f t="shared" si="4"/>
        <v>11.019402935401207</v>
      </c>
      <c r="R25">
        <f t="shared" si="5"/>
        <v>7.2419875528338951</v>
      </c>
      <c r="S25">
        <f t="shared" si="6"/>
        <v>3.6509468499351021</v>
      </c>
      <c r="T25">
        <f t="shared" si="7"/>
        <v>3.5777282257796119</v>
      </c>
      <c r="U25">
        <f t="shared" si="8"/>
        <v>3.5943688221785868</v>
      </c>
      <c r="V25">
        <f t="shared" si="9"/>
        <v>18.045062735048422</v>
      </c>
      <c r="W25">
        <f t="shared" si="10"/>
        <v>99.999999999999972</v>
      </c>
    </row>
    <row r="26" spans="1:23" x14ac:dyDescent="0.3">
      <c r="A26" t="s">
        <v>30</v>
      </c>
      <c r="B26">
        <v>2013</v>
      </c>
      <c r="C26" t="s">
        <v>41</v>
      </c>
      <c r="D26">
        <f>'All_India_Index_Upto_April23 (1'!D26+'All_India_Index_Upto_April23 (1'!G26+'All_India_Index_Upto_April23 (1'!H26+'All_India_Index_Upto_April23 (1'!I26+'All_India_Index_Upto_April23 (1'!J26+'All_India_Index_Upto_April23 (1'!K26+'All_India_Index_Upto_April23 (1'!L26+'All_India_Index_Upto_April23 (1'!M26+'All_India_Index_Upto_April23 (1'!N26+'All_India_Index_Upto_April23 (1'!O26+'All_India_Index_Upto_April23 (1'!P26</f>
        <v>1261.1000000000001</v>
      </c>
      <c r="E26">
        <f>'All_India_Index_Upto_April23 (1'!E26+'All_India_Index_Upto_April23 (1'!F26</f>
        <v>227.4</v>
      </c>
      <c r="F26">
        <v>111.7</v>
      </c>
      <c r="G26">
        <f>'All_India_Index_Upto_April23 (1'!R26+'All_India_Index_Upto_April23 (1'!S26+'All_India_Index_Upto_April23 (1'!T26</f>
        <v>336.6</v>
      </c>
      <c r="H26">
        <f>'All_India_Index_Upto_April23 (1'!U26+'All_India_Index_Upto_April23 (1'!W26</f>
        <v>109.6</v>
      </c>
      <c r="I26">
        <v>111.1</v>
      </c>
      <c r="J26">
        <v>108.3</v>
      </c>
      <c r="K26">
        <v>109.3</v>
      </c>
      <c r="L26">
        <f>'All_India_Index_Upto_April23 (1'!Z26+'All_India_Index_Upto_April23 (1'!AA26+'All_India_Index_Upto_April23 (1'!AB26+'All_India_Index_Upto_April23 (1'!AC26+'All_India_Index_Upto_April23 (1'!AD26</f>
        <v>547.1</v>
      </c>
      <c r="M26">
        <f t="shared" si="0"/>
        <v>2922.2000000000003</v>
      </c>
      <c r="N26">
        <f t="shared" si="1"/>
        <v>43.155841489288896</v>
      </c>
      <c r="O26">
        <f t="shared" si="2"/>
        <v>7.78180822667853</v>
      </c>
      <c r="P26">
        <f t="shared" si="3"/>
        <v>3.8224625282321538</v>
      </c>
      <c r="Q26">
        <f t="shared" si="4"/>
        <v>11.518718773526794</v>
      </c>
      <c r="R26">
        <f t="shared" si="5"/>
        <v>3.750598863869687</v>
      </c>
      <c r="S26">
        <f t="shared" si="6"/>
        <v>3.8019300527000199</v>
      </c>
      <c r="T26">
        <f t="shared" si="7"/>
        <v>3.7061118335500645</v>
      </c>
      <c r="U26">
        <f t="shared" si="8"/>
        <v>3.7403326261036201</v>
      </c>
      <c r="V26">
        <f t="shared" si="9"/>
        <v>18.722195606050235</v>
      </c>
      <c r="W26">
        <f t="shared" si="10"/>
        <v>100</v>
      </c>
    </row>
    <row r="27" spans="1:23" x14ac:dyDescent="0.3">
      <c r="A27" t="s">
        <v>32</v>
      </c>
      <c r="B27">
        <v>2013</v>
      </c>
      <c r="C27" t="s">
        <v>41</v>
      </c>
      <c r="D27">
        <f>'All_India_Index_Upto_April23 (1'!D27+'All_India_Index_Upto_April23 (1'!G27+'All_India_Index_Upto_April23 (1'!H27+'All_India_Index_Upto_April23 (1'!I27+'All_India_Index_Upto_April23 (1'!J27+'All_India_Index_Upto_April23 (1'!K27+'All_India_Index_Upto_April23 (1'!L27+'All_India_Index_Upto_April23 (1'!M27+'All_India_Index_Upto_April23 (1'!N27+'All_India_Index_Upto_April23 (1'!O27+'All_India_Index_Upto_April23 (1'!P27</f>
        <v>1268.1000000000001</v>
      </c>
      <c r="E27">
        <f>'All_India_Index_Upto_April23 (1'!E27+'All_India_Index_Upto_April23 (1'!F27</f>
        <v>232.3</v>
      </c>
      <c r="F27">
        <v>112.9</v>
      </c>
      <c r="G27">
        <f>'All_India_Index_Upto_April23 (1'!R27+'All_India_Index_Upto_April23 (1'!S27+'All_India_Index_Upto_April23 (1'!T27</f>
        <v>331.5</v>
      </c>
      <c r="H27">
        <f>'All_India_Index_Upto_April23 (1'!U27+'All_India_Index_Upto_April23 (1'!W27</f>
        <v>219.3</v>
      </c>
      <c r="I27">
        <v>109.5</v>
      </c>
      <c r="J27">
        <v>107.9</v>
      </c>
      <c r="K27">
        <v>110.4</v>
      </c>
      <c r="L27">
        <f>'All_India_Index_Upto_April23 (1'!Z27+'All_India_Index_Upto_April23 (1'!AA27+'All_India_Index_Upto_April23 (1'!AB27+'All_India_Index_Upto_April23 (1'!AC27+'All_India_Index_Upto_April23 (1'!AD27</f>
        <v>548.1</v>
      </c>
      <c r="M27">
        <f t="shared" si="0"/>
        <v>3040.0000000000005</v>
      </c>
      <c r="N27">
        <f t="shared" si="1"/>
        <v>41.713815789473685</v>
      </c>
      <c r="O27">
        <f t="shared" si="2"/>
        <v>7.6414473684210522</v>
      </c>
      <c r="P27">
        <f t="shared" si="3"/>
        <v>3.7138157894736836</v>
      </c>
      <c r="Q27">
        <f t="shared" si="4"/>
        <v>10.904605263157894</v>
      </c>
      <c r="R27">
        <f t="shared" si="5"/>
        <v>7.2138157894736832</v>
      </c>
      <c r="S27">
        <f t="shared" si="6"/>
        <v>3.6019736842105257</v>
      </c>
      <c r="T27">
        <f t="shared" si="7"/>
        <v>3.5493421052631575</v>
      </c>
      <c r="U27">
        <f t="shared" si="8"/>
        <v>3.6315789473684204</v>
      </c>
      <c r="V27">
        <f t="shared" si="9"/>
        <v>18.029605263157894</v>
      </c>
      <c r="W27">
        <f t="shared" si="10"/>
        <v>99.999999999999986</v>
      </c>
    </row>
    <row r="28" spans="1:23" x14ac:dyDescent="0.3">
      <c r="A28" t="s">
        <v>33</v>
      </c>
      <c r="B28">
        <v>2013</v>
      </c>
      <c r="C28" t="s">
        <v>41</v>
      </c>
      <c r="D28">
        <f>'All_India_Index_Upto_April23 (1'!D28+'All_India_Index_Upto_April23 (1'!G28+'All_India_Index_Upto_April23 (1'!H28+'All_India_Index_Upto_April23 (1'!I28+'All_India_Index_Upto_April23 (1'!J28+'All_India_Index_Upto_April23 (1'!K28+'All_India_Index_Upto_April23 (1'!L28+'All_India_Index_Upto_April23 (1'!M28+'All_India_Index_Upto_April23 (1'!N28+'All_India_Index_Upto_April23 (1'!O28+'All_India_Index_Upto_April23 (1'!P28</f>
        <v>1262.4999999999998</v>
      </c>
      <c r="E28">
        <f>'All_India_Index_Upto_April23 (1'!E28+'All_India_Index_Upto_April23 (1'!F28</f>
        <v>229.2</v>
      </c>
      <c r="F28">
        <v>112</v>
      </c>
      <c r="G28">
        <f>'All_India_Index_Upto_April23 (1'!R28+'All_India_Index_Upto_April23 (1'!S28+'All_India_Index_Upto_April23 (1'!T28</f>
        <v>334.5</v>
      </c>
      <c r="H28">
        <f>'All_India_Index_Upto_April23 (1'!U28+'All_India_Index_Upto_April23 (1'!W28</f>
        <v>219.3</v>
      </c>
      <c r="I28">
        <v>110.5</v>
      </c>
      <c r="J28">
        <v>108.1</v>
      </c>
      <c r="K28">
        <v>109.9</v>
      </c>
      <c r="L28">
        <f>'All_India_Index_Upto_April23 (1'!Z28+'All_India_Index_Upto_April23 (1'!AA28+'All_India_Index_Upto_April23 (1'!AB28+'All_India_Index_Upto_April23 (1'!AC28+'All_India_Index_Upto_April23 (1'!AD28</f>
        <v>547.6</v>
      </c>
      <c r="M28">
        <f t="shared" si="0"/>
        <v>3033.6</v>
      </c>
      <c r="N28">
        <f t="shared" si="1"/>
        <v>41.617220464135016</v>
      </c>
      <c r="O28">
        <f t="shared" si="2"/>
        <v>7.5553797468354427</v>
      </c>
      <c r="P28">
        <f t="shared" si="3"/>
        <v>3.6919831223628692</v>
      </c>
      <c r="Q28">
        <f t="shared" si="4"/>
        <v>11.026503164556962</v>
      </c>
      <c r="R28">
        <f t="shared" si="5"/>
        <v>7.2290348101265831</v>
      </c>
      <c r="S28">
        <f t="shared" si="6"/>
        <v>3.6425369198312243</v>
      </c>
      <c r="T28">
        <f t="shared" si="7"/>
        <v>3.5634229957805905</v>
      </c>
      <c r="U28">
        <f t="shared" si="8"/>
        <v>3.6227584388185656</v>
      </c>
      <c r="V28">
        <f t="shared" si="9"/>
        <v>18.051160337552744</v>
      </c>
      <c r="W28">
        <f t="shared" si="10"/>
        <v>100</v>
      </c>
    </row>
    <row r="29" spans="1:23" x14ac:dyDescent="0.3">
      <c r="A29" t="s">
        <v>30</v>
      </c>
      <c r="B29">
        <v>2013</v>
      </c>
      <c r="C29" t="s">
        <v>42</v>
      </c>
      <c r="D29">
        <f>'All_India_Index_Upto_April23 (1'!D29+'All_India_Index_Upto_April23 (1'!G29+'All_India_Index_Upto_April23 (1'!H29+'All_India_Index_Upto_April23 (1'!I29+'All_India_Index_Upto_April23 (1'!J29+'All_India_Index_Upto_April23 (1'!K29+'All_India_Index_Upto_April23 (1'!L29+'All_India_Index_Upto_April23 (1'!M29+'All_India_Index_Upto_April23 (1'!N29+'All_India_Index_Upto_April23 (1'!O29+'All_India_Index_Upto_April23 (1'!P29</f>
        <v>1280</v>
      </c>
      <c r="E29">
        <f>'All_India_Index_Upto_April23 (1'!E29+'All_India_Index_Upto_April23 (1'!F29</f>
        <v>228</v>
      </c>
      <c r="F29">
        <v>112.2</v>
      </c>
      <c r="G29">
        <f>'All_India_Index_Upto_April23 (1'!R29+'All_India_Index_Upto_April23 (1'!S29+'All_India_Index_Upto_April23 (1'!T29</f>
        <v>339.29999999999995</v>
      </c>
      <c r="H29">
        <f>'All_India_Index_Upto_April23 (1'!U29+'All_India_Index_Upto_April23 (1'!W29</f>
        <v>110.4</v>
      </c>
      <c r="I29">
        <v>111.6</v>
      </c>
      <c r="J29">
        <v>108.9</v>
      </c>
      <c r="K29">
        <v>109.3</v>
      </c>
      <c r="L29">
        <f>'All_India_Index_Upto_April23 (1'!Z29+'All_India_Index_Upto_April23 (1'!AA29+'All_India_Index_Upto_April23 (1'!AB29+'All_India_Index_Upto_April23 (1'!AC29+'All_India_Index_Upto_April23 (1'!AD29</f>
        <v>550.6</v>
      </c>
      <c r="M29">
        <f t="shared" si="0"/>
        <v>2950.3</v>
      </c>
      <c r="N29">
        <f t="shared" si="1"/>
        <v>43.385418432023862</v>
      </c>
      <c r="O29">
        <f t="shared" si="2"/>
        <v>7.7280276582042493</v>
      </c>
      <c r="P29">
        <f t="shared" si="3"/>
        <v>3.8030030844320919</v>
      </c>
      <c r="Q29">
        <f t="shared" si="4"/>
        <v>11.500525370301323</v>
      </c>
      <c r="R29">
        <f t="shared" si="5"/>
        <v>3.7419923397620583</v>
      </c>
      <c r="S29">
        <f t="shared" si="6"/>
        <v>3.7826661695420802</v>
      </c>
      <c r="T29">
        <f t="shared" si="7"/>
        <v>3.6911500525370302</v>
      </c>
      <c r="U29">
        <f t="shared" si="8"/>
        <v>3.7047079957970372</v>
      </c>
      <c r="V29">
        <f t="shared" si="9"/>
        <v>18.662508897400265</v>
      </c>
      <c r="W29">
        <f t="shared" si="10"/>
        <v>100</v>
      </c>
    </row>
    <row r="30" spans="1:23" x14ac:dyDescent="0.3">
      <c r="A30" t="s">
        <v>32</v>
      </c>
      <c r="B30">
        <v>2013</v>
      </c>
      <c r="C30" t="s">
        <v>42</v>
      </c>
      <c r="D30">
        <f>'All_India_Index_Upto_April23 (1'!D30+'All_India_Index_Upto_April23 (1'!G30+'All_India_Index_Upto_April23 (1'!H30+'All_India_Index_Upto_April23 (1'!I30+'All_India_Index_Upto_April23 (1'!J30+'All_India_Index_Upto_April23 (1'!K30+'All_India_Index_Upto_April23 (1'!L30+'All_India_Index_Upto_April23 (1'!M30+'All_India_Index_Upto_April23 (1'!N30+'All_India_Index_Upto_April23 (1'!O30+'All_India_Index_Upto_April23 (1'!P30</f>
        <v>1284.5999999999999</v>
      </c>
      <c r="E30">
        <f>'All_India_Index_Upto_April23 (1'!E30+'All_India_Index_Upto_April23 (1'!F30</f>
        <v>232.6</v>
      </c>
      <c r="F30">
        <v>113.5</v>
      </c>
      <c r="G30">
        <f>'All_India_Index_Upto_April23 (1'!R30+'All_India_Index_Upto_April23 (1'!S30+'All_India_Index_Upto_April23 (1'!T30</f>
        <v>334.2</v>
      </c>
      <c r="H30">
        <f>'All_India_Index_Upto_April23 (1'!U30+'All_India_Index_Upto_April23 (1'!W30</f>
        <v>220.7</v>
      </c>
      <c r="I30">
        <v>109.7</v>
      </c>
      <c r="J30">
        <v>108.2</v>
      </c>
      <c r="K30">
        <v>109.7</v>
      </c>
      <c r="L30">
        <f>'All_India_Index_Upto_April23 (1'!Z30+'All_India_Index_Upto_April23 (1'!AA30+'All_India_Index_Upto_April23 (1'!AB30+'All_India_Index_Upto_April23 (1'!AC30+'All_India_Index_Upto_April23 (1'!AD30</f>
        <v>550</v>
      </c>
      <c r="M30">
        <f t="shared" si="0"/>
        <v>3063.1999999999994</v>
      </c>
      <c r="N30">
        <f t="shared" si="1"/>
        <v>41.9365369548185</v>
      </c>
      <c r="O30">
        <f t="shared" si="2"/>
        <v>7.5933664142073658</v>
      </c>
      <c r="P30">
        <f t="shared" si="3"/>
        <v>3.7052755288587105</v>
      </c>
      <c r="Q30">
        <f t="shared" si="4"/>
        <v>10.910159310524943</v>
      </c>
      <c r="R30">
        <f t="shared" si="5"/>
        <v>7.2048837816662328</v>
      </c>
      <c r="S30">
        <f t="shared" si="6"/>
        <v>3.5812222512405336</v>
      </c>
      <c r="T30">
        <f t="shared" si="7"/>
        <v>3.5322538521807272</v>
      </c>
      <c r="U30">
        <f t="shared" si="8"/>
        <v>3.5812222512405336</v>
      </c>
      <c r="V30">
        <f t="shared" si="9"/>
        <v>17.955079655262473</v>
      </c>
      <c r="W30">
        <f t="shared" si="10"/>
        <v>100.00000000000003</v>
      </c>
    </row>
    <row r="31" spans="1:23" x14ac:dyDescent="0.3">
      <c r="A31" t="s">
        <v>33</v>
      </c>
      <c r="B31">
        <v>2013</v>
      </c>
      <c r="C31" t="s">
        <v>42</v>
      </c>
      <c r="D31">
        <f>'All_India_Index_Upto_April23 (1'!D31+'All_India_Index_Upto_April23 (1'!G31+'All_India_Index_Upto_April23 (1'!H31+'All_India_Index_Upto_April23 (1'!I31+'All_India_Index_Upto_April23 (1'!J31+'All_India_Index_Upto_April23 (1'!K31+'All_India_Index_Upto_April23 (1'!L31+'All_India_Index_Upto_April23 (1'!M31+'All_India_Index_Upto_April23 (1'!N31+'All_India_Index_Upto_April23 (1'!O31+'All_India_Index_Upto_April23 (1'!P31</f>
        <v>1280.6000000000001</v>
      </c>
      <c r="E31">
        <f>'All_India_Index_Upto_April23 (1'!E31+'All_India_Index_Upto_April23 (1'!F31</f>
        <v>229.6</v>
      </c>
      <c r="F31">
        <v>112.5</v>
      </c>
      <c r="G31">
        <f>'All_India_Index_Upto_April23 (1'!R31+'All_India_Index_Upto_April23 (1'!S31+'All_India_Index_Upto_April23 (1'!T31</f>
        <v>337.2</v>
      </c>
      <c r="H31">
        <f>'All_India_Index_Upto_April23 (1'!U31+'All_India_Index_Upto_April23 (1'!W31</f>
        <v>220.8</v>
      </c>
      <c r="I31">
        <v>110.9</v>
      </c>
      <c r="J31">
        <v>108.6</v>
      </c>
      <c r="K31">
        <v>109.5</v>
      </c>
      <c r="L31">
        <f>'All_India_Index_Upto_April23 (1'!Z31+'All_India_Index_Upto_April23 (1'!AA31+'All_India_Index_Upto_April23 (1'!AB31+'All_India_Index_Upto_April23 (1'!AC31+'All_India_Index_Upto_April23 (1'!AD31</f>
        <v>550.29999999999995</v>
      </c>
      <c r="M31">
        <f t="shared" si="0"/>
        <v>3060</v>
      </c>
      <c r="N31">
        <f t="shared" si="1"/>
        <v>41.849673202614383</v>
      </c>
      <c r="O31">
        <f t="shared" si="2"/>
        <v>7.5032679738562091</v>
      </c>
      <c r="P31">
        <f t="shared" si="3"/>
        <v>3.6764705882352944</v>
      </c>
      <c r="Q31">
        <f t="shared" si="4"/>
        <v>11.019607843137255</v>
      </c>
      <c r="R31">
        <f t="shared" si="5"/>
        <v>7.215686274509804</v>
      </c>
      <c r="S31">
        <f t="shared" si="6"/>
        <v>3.6241830065359477</v>
      </c>
      <c r="T31">
        <f t="shared" si="7"/>
        <v>3.5490196078431375</v>
      </c>
      <c r="U31">
        <f t="shared" si="8"/>
        <v>3.5784313725490193</v>
      </c>
      <c r="V31">
        <f t="shared" si="9"/>
        <v>17.983660130718953</v>
      </c>
      <c r="W31">
        <f t="shared" si="10"/>
        <v>100</v>
      </c>
    </row>
    <row r="32" spans="1:23" x14ac:dyDescent="0.3">
      <c r="A32" t="s">
        <v>30</v>
      </c>
      <c r="B32">
        <v>2013</v>
      </c>
      <c r="C32" t="s">
        <v>43</v>
      </c>
      <c r="D32">
        <f>'All_India_Index_Upto_April23 (1'!D32+'All_India_Index_Upto_April23 (1'!G32+'All_India_Index_Upto_April23 (1'!H32+'All_India_Index_Upto_April23 (1'!I32+'All_India_Index_Upto_April23 (1'!J32+'All_India_Index_Upto_April23 (1'!K32+'All_India_Index_Upto_April23 (1'!L32+'All_India_Index_Upto_April23 (1'!M32+'All_India_Index_Upto_April23 (1'!N32+'All_India_Index_Upto_April23 (1'!O32+'All_India_Index_Upto_April23 (1'!P32</f>
        <v>1305.7</v>
      </c>
      <c r="E32">
        <f>'All_India_Index_Upto_April23 (1'!E32+'All_India_Index_Upto_April23 (1'!F32</f>
        <v>231.10000000000002</v>
      </c>
      <c r="F32">
        <v>112.8</v>
      </c>
      <c r="G32">
        <f>'All_India_Index_Upto_April23 (1'!R32+'All_India_Index_Upto_April23 (1'!S32+'All_India_Index_Upto_April23 (1'!T32</f>
        <v>342.1</v>
      </c>
      <c r="H32">
        <f>'All_India_Index_Upto_April23 (1'!U32+'All_India_Index_Upto_April23 (1'!W32</f>
        <v>111.3</v>
      </c>
      <c r="I32">
        <v>112.6</v>
      </c>
      <c r="J32">
        <v>109.7</v>
      </c>
      <c r="K32">
        <v>109.6</v>
      </c>
      <c r="L32">
        <f>'All_India_Index_Upto_April23 (1'!Z32+'All_India_Index_Upto_April23 (1'!AA32+'All_India_Index_Upto_April23 (1'!AB32+'All_India_Index_Upto_April23 (1'!AC32+'All_India_Index_Upto_April23 (1'!AD32</f>
        <v>555.1</v>
      </c>
      <c r="M32">
        <f t="shared" si="0"/>
        <v>2990</v>
      </c>
      <c r="N32">
        <f t="shared" si="1"/>
        <v>43.668896321070235</v>
      </c>
      <c r="O32">
        <f t="shared" si="2"/>
        <v>7.7290969899665569</v>
      </c>
      <c r="P32">
        <f t="shared" si="3"/>
        <v>3.7725752508361201</v>
      </c>
      <c r="Q32">
        <f t="shared" si="4"/>
        <v>11.441471571906355</v>
      </c>
      <c r="R32">
        <f t="shared" si="5"/>
        <v>3.7224080267558532</v>
      </c>
      <c r="S32">
        <f t="shared" si="6"/>
        <v>3.7658862876254182</v>
      </c>
      <c r="T32">
        <f t="shared" si="7"/>
        <v>3.6688963210702341</v>
      </c>
      <c r="U32">
        <f t="shared" si="8"/>
        <v>3.6655518394648827</v>
      </c>
      <c r="V32">
        <f t="shared" si="9"/>
        <v>18.565217391304348</v>
      </c>
      <c r="W32">
        <f t="shared" si="10"/>
        <v>100</v>
      </c>
    </row>
    <row r="33" spans="1:23" x14ac:dyDescent="0.3">
      <c r="A33" t="s">
        <v>32</v>
      </c>
      <c r="B33">
        <v>2013</v>
      </c>
      <c r="C33" t="s">
        <v>44</v>
      </c>
      <c r="D33">
        <f>'All_India_Index_Upto_April23 (1'!D33+'All_India_Index_Upto_April23 (1'!G33+'All_India_Index_Upto_April23 (1'!H33+'All_India_Index_Upto_April23 (1'!I33+'All_India_Index_Upto_April23 (1'!J33+'All_India_Index_Upto_April23 (1'!K33+'All_India_Index_Upto_April23 (1'!L33+'All_India_Index_Upto_April23 (1'!M33+'All_India_Index_Upto_April23 (1'!N33+'All_India_Index_Upto_April23 (1'!O33+'All_India_Index_Upto_April23 (1'!P33</f>
        <v>1305.6999999999998</v>
      </c>
      <c r="E33">
        <f>'All_India_Index_Upto_April23 (1'!E33+'All_India_Index_Upto_April23 (1'!F33</f>
        <v>238.89999999999998</v>
      </c>
      <c r="F33">
        <v>114.1</v>
      </c>
      <c r="G33">
        <f>'All_India_Index_Upto_April23 (1'!R33+'All_India_Index_Upto_April23 (1'!S33+'All_India_Index_Upto_April23 (1'!T33</f>
        <v>336.8</v>
      </c>
      <c r="H33">
        <f>'All_India_Index_Upto_April23 (1'!U33+'All_India_Index_Upto_April23 (1'!W33</f>
        <v>222</v>
      </c>
      <c r="I33">
        <v>110</v>
      </c>
      <c r="J33">
        <v>108.6</v>
      </c>
      <c r="K33">
        <v>109.5</v>
      </c>
      <c r="L33">
        <f>'All_India_Index_Upto_April23 (1'!Z33+'All_India_Index_Upto_April23 (1'!AA33+'All_India_Index_Upto_April23 (1'!AB33+'All_India_Index_Upto_April23 (1'!AC33+'All_India_Index_Upto_April23 (1'!AD33</f>
        <v>552.30000000000007</v>
      </c>
      <c r="M33">
        <f t="shared" si="0"/>
        <v>3097.9</v>
      </c>
      <c r="N33">
        <f t="shared" si="1"/>
        <v>42.147906646437903</v>
      </c>
      <c r="O33">
        <f t="shared" si="2"/>
        <v>7.7116756512476181</v>
      </c>
      <c r="P33">
        <f t="shared" si="3"/>
        <v>3.6831401917427931</v>
      </c>
      <c r="Q33">
        <f t="shared" si="4"/>
        <v>10.871880951612383</v>
      </c>
      <c r="R33">
        <f t="shared" si="5"/>
        <v>7.1661448077730077</v>
      </c>
      <c r="S33">
        <f t="shared" si="6"/>
        <v>3.5507924723199586</v>
      </c>
      <c r="T33">
        <f t="shared" si="7"/>
        <v>3.5056005681267952</v>
      </c>
      <c r="U33">
        <f t="shared" si="8"/>
        <v>3.5346525065366863</v>
      </c>
      <c r="V33">
        <f t="shared" si="9"/>
        <v>17.82820620420285</v>
      </c>
      <c r="W33">
        <f t="shared" si="10"/>
        <v>100</v>
      </c>
    </row>
    <row r="34" spans="1:23" x14ac:dyDescent="0.3">
      <c r="A34" t="s">
        <v>33</v>
      </c>
      <c r="B34">
        <v>2013</v>
      </c>
      <c r="C34" t="s">
        <v>44</v>
      </c>
      <c r="D34">
        <f>'All_India_Index_Upto_April23 (1'!D34+'All_India_Index_Upto_April23 (1'!G34+'All_India_Index_Upto_April23 (1'!H34+'All_India_Index_Upto_April23 (1'!I34+'All_India_Index_Upto_April23 (1'!J34+'All_India_Index_Upto_April23 (1'!K34+'All_India_Index_Upto_April23 (1'!L34+'All_India_Index_Upto_April23 (1'!M34+'All_India_Index_Upto_April23 (1'!N34+'All_India_Index_Upto_April23 (1'!O34+'All_India_Index_Upto_April23 (1'!P34</f>
        <v>1304.7</v>
      </c>
      <c r="E34">
        <f>'All_India_Index_Upto_April23 (1'!E34+'All_India_Index_Upto_April23 (1'!F34</f>
        <v>234.10000000000002</v>
      </c>
      <c r="F34">
        <v>113.1</v>
      </c>
      <c r="G34">
        <f>'All_India_Index_Upto_April23 (1'!R34+'All_India_Index_Upto_April23 (1'!S34+'All_India_Index_Upto_April23 (1'!T34</f>
        <v>339.90000000000003</v>
      </c>
      <c r="H34">
        <f>'All_India_Index_Upto_April23 (1'!U34+'All_India_Index_Upto_April23 (1'!W34</f>
        <v>222.2</v>
      </c>
      <c r="I34">
        <v>111.6</v>
      </c>
      <c r="J34">
        <v>109.3</v>
      </c>
      <c r="K34">
        <v>109.5</v>
      </c>
      <c r="L34">
        <f>'All_India_Index_Upto_April23 (1'!Z34+'All_India_Index_Upto_April23 (1'!AA34+'All_India_Index_Upto_April23 (1'!AB34+'All_India_Index_Upto_April23 (1'!AC34+'All_India_Index_Upto_April23 (1'!AD34</f>
        <v>553.9</v>
      </c>
      <c r="M34">
        <f t="shared" si="0"/>
        <v>3098.3</v>
      </c>
      <c r="N34">
        <f t="shared" si="1"/>
        <v>42.110189458735434</v>
      </c>
      <c r="O34">
        <f t="shared" si="2"/>
        <v>7.5557563825323566</v>
      </c>
      <c r="P34">
        <f t="shared" si="3"/>
        <v>3.6503889229577506</v>
      </c>
      <c r="Q34">
        <f t="shared" si="4"/>
        <v>10.970532227350482</v>
      </c>
      <c r="R34">
        <f t="shared" si="5"/>
        <v>7.1716747894006376</v>
      </c>
      <c r="S34">
        <f t="shared" si="6"/>
        <v>3.6019752767646769</v>
      </c>
      <c r="T34">
        <f t="shared" si="7"/>
        <v>3.5277410192686305</v>
      </c>
      <c r="U34">
        <f t="shared" si="8"/>
        <v>3.534196172094374</v>
      </c>
      <c r="V34">
        <f t="shared" si="9"/>
        <v>17.877545750895653</v>
      </c>
      <c r="W34">
        <f t="shared" si="10"/>
        <v>100</v>
      </c>
    </row>
    <row r="35" spans="1:23" x14ac:dyDescent="0.3">
      <c r="A35" t="s">
        <v>30</v>
      </c>
      <c r="B35">
        <v>2013</v>
      </c>
      <c r="C35" t="s">
        <v>45</v>
      </c>
      <c r="D35">
        <f>'All_India_Index_Upto_April23 (1'!D35+'All_India_Index_Upto_April23 (1'!G35+'All_India_Index_Upto_April23 (1'!H35+'All_India_Index_Upto_April23 (1'!I35+'All_India_Index_Upto_April23 (1'!J35+'All_India_Index_Upto_April23 (1'!K35+'All_India_Index_Upto_April23 (1'!L35+'All_India_Index_Upto_April23 (1'!M35+'All_India_Index_Upto_April23 (1'!N35+'All_India_Index_Upto_April23 (1'!O35+'All_India_Index_Upto_April23 (1'!P35</f>
        <v>1272.6999999999998</v>
      </c>
      <c r="E35">
        <f>'All_India_Index_Upto_April23 (1'!E35+'All_India_Index_Upto_April23 (1'!F35</f>
        <v>236.3</v>
      </c>
      <c r="F35">
        <v>113.6</v>
      </c>
      <c r="G35">
        <f>'All_India_Index_Upto_April23 (1'!R35+'All_India_Index_Upto_April23 (1'!S35+'All_India_Index_Upto_April23 (1'!T35</f>
        <v>345.3</v>
      </c>
      <c r="H35">
        <f>'All_India_Index_Upto_April23 (1'!U35+'All_India_Index_Upto_April23 (1'!W35</f>
        <v>112.1</v>
      </c>
      <c r="I35">
        <v>112.8</v>
      </c>
      <c r="J35">
        <v>110.1</v>
      </c>
      <c r="K35">
        <v>109.9</v>
      </c>
      <c r="L35">
        <f>'All_India_Index_Upto_April23 (1'!Z35+'All_India_Index_Upto_April23 (1'!AA35+'All_India_Index_Upto_April23 (1'!AB35+'All_India_Index_Upto_April23 (1'!AC35+'All_India_Index_Upto_April23 (1'!AD35</f>
        <v>554.5</v>
      </c>
      <c r="M35">
        <f t="shared" si="0"/>
        <v>2967.2999999999997</v>
      </c>
      <c r="N35">
        <f t="shared" si="1"/>
        <v>42.890843527786195</v>
      </c>
      <c r="O35">
        <f t="shared" si="2"/>
        <v>7.9634684730226137</v>
      </c>
      <c r="P35">
        <f t="shared" si="3"/>
        <v>3.8283961850840833</v>
      </c>
      <c r="Q35">
        <f t="shared" si="4"/>
        <v>11.636841573147306</v>
      </c>
      <c r="R35">
        <f t="shared" si="5"/>
        <v>3.7778451791190646</v>
      </c>
      <c r="S35">
        <f t="shared" si="6"/>
        <v>3.8014356485694067</v>
      </c>
      <c r="T35">
        <f t="shared" si="7"/>
        <v>3.710443837832373</v>
      </c>
      <c r="U35">
        <f t="shared" si="8"/>
        <v>3.7037037037037042</v>
      </c>
      <c r="V35">
        <f t="shared" si="9"/>
        <v>18.687021871735247</v>
      </c>
      <c r="W35">
        <f t="shared" si="10"/>
        <v>100</v>
      </c>
    </row>
    <row r="36" spans="1:23" x14ac:dyDescent="0.3">
      <c r="A36" t="s">
        <v>32</v>
      </c>
      <c r="B36">
        <v>2013</v>
      </c>
      <c r="C36" t="s">
        <v>45</v>
      </c>
      <c r="D36">
        <f>'All_India_Index_Upto_April23 (1'!D36+'All_India_Index_Upto_April23 (1'!G36+'All_India_Index_Upto_April23 (1'!H36+'All_India_Index_Upto_April23 (1'!I36+'All_India_Index_Upto_April23 (1'!J36+'All_India_Index_Upto_April23 (1'!K36+'All_India_Index_Upto_April23 (1'!L36+'All_India_Index_Upto_April23 (1'!M36+'All_India_Index_Upto_April23 (1'!N36+'All_India_Index_Upto_April23 (1'!O36+'All_India_Index_Upto_April23 (1'!P36</f>
        <v>1257.8</v>
      </c>
      <c r="E36">
        <f>'All_India_Index_Upto_April23 (1'!E36+'All_India_Index_Upto_April23 (1'!F36</f>
        <v>246.6</v>
      </c>
      <c r="F36">
        <v>115</v>
      </c>
      <c r="G36">
        <f>'All_India_Index_Upto_April23 (1'!R36+'All_India_Index_Upto_April23 (1'!S36+'All_India_Index_Upto_April23 (1'!T36</f>
        <v>338.8</v>
      </c>
      <c r="H36">
        <f>'All_India_Index_Upto_April23 (1'!U36+'All_India_Index_Upto_April23 (1'!W36</f>
        <v>222</v>
      </c>
      <c r="I36">
        <v>110.4</v>
      </c>
      <c r="J36">
        <v>109</v>
      </c>
      <c r="K36">
        <v>109.7</v>
      </c>
      <c r="L36">
        <f>'All_India_Index_Upto_April23 (1'!Z36+'All_India_Index_Upto_April23 (1'!AA36+'All_India_Index_Upto_April23 (1'!AB36+'All_India_Index_Upto_April23 (1'!AC36+'All_India_Index_Upto_April23 (1'!AD36</f>
        <v>551.1</v>
      </c>
      <c r="M36">
        <f t="shared" si="0"/>
        <v>3060.3999999999996</v>
      </c>
      <c r="N36">
        <f t="shared" si="1"/>
        <v>41.099202718598882</v>
      </c>
      <c r="O36">
        <f t="shared" si="2"/>
        <v>8.0577702261142345</v>
      </c>
      <c r="P36">
        <f t="shared" si="3"/>
        <v>3.757678734805908</v>
      </c>
      <c r="Q36">
        <f t="shared" si="4"/>
        <v>11.070448307410798</v>
      </c>
      <c r="R36">
        <f t="shared" si="5"/>
        <v>7.2539537315383624</v>
      </c>
      <c r="S36">
        <f t="shared" si="6"/>
        <v>3.6073715854136719</v>
      </c>
      <c r="T36">
        <f t="shared" si="7"/>
        <v>3.5616259312508176</v>
      </c>
      <c r="U36">
        <f t="shared" si="8"/>
        <v>3.584498758332245</v>
      </c>
      <c r="V36">
        <f t="shared" si="9"/>
        <v>18.007450006535098</v>
      </c>
      <c r="W36">
        <f t="shared" si="10"/>
        <v>100.00000000000001</v>
      </c>
    </row>
    <row r="37" spans="1:23" x14ac:dyDescent="0.3">
      <c r="A37" t="s">
        <v>33</v>
      </c>
      <c r="B37">
        <v>2013</v>
      </c>
      <c r="C37" t="s">
        <v>45</v>
      </c>
      <c r="D37">
        <f>'All_India_Index_Upto_April23 (1'!D37+'All_India_Index_Upto_April23 (1'!G37+'All_India_Index_Upto_April23 (1'!H37+'All_India_Index_Upto_April23 (1'!I37+'All_India_Index_Upto_April23 (1'!J37+'All_India_Index_Upto_April23 (1'!K37+'All_India_Index_Upto_April23 (1'!L37+'All_India_Index_Upto_April23 (1'!M37+'All_India_Index_Upto_April23 (1'!N37+'All_India_Index_Upto_April23 (1'!O37+'All_India_Index_Upto_April23 (1'!P37</f>
        <v>1267.1000000000001</v>
      </c>
      <c r="E37">
        <f>'All_India_Index_Upto_April23 (1'!E37+'All_India_Index_Upto_April23 (1'!F37</f>
        <v>240.2</v>
      </c>
      <c r="F37">
        <v>114</v>
      </c>
      <c r="G37">
        <f>'All_India_Index_Upto_April23 (1'!R37+'All_India_Index_Upto_April23 (1'!S37+'All_India_Index_Upto_April23 (1'!T37</f>
        <v>342.7</v>
      </c>
      <c r="H37">
        <f>'All_India_Index_Upto_April23 (1'!U37+'All_India_Index_Upto_April23 (1'!W37</f>
        <v>222.4</v>
      </c>
      <c r="I37">
        <v>111.9</v>
      </c>
      <c r="J37">
        <v>109.7</v>
      </c>
      <c r="K37">
        <v>109.8</v>
      </c>
      <c r="L37">
        <f>'All_India_Index_Upto_April23 (1'!Z37+'All_India_Index_Upto_April23 (1'!AA37+'All_India_Index_Upto_April23 (1'!AB37+'All_India_Index_Upto_April23 (1'!AC37+'All_India_Index_Upto_April23 (1'!AD37</f>
        <v>552.9</v>
      </c>
      <c r="M37">
        <f t="shared" si="0"/>
        <v>3070.7000000000003</v>
      </c>
      <c r="N37">
        <f t="shared" si="1"/>
        <v>41.264206858371054</v>
      </c>
      <c r="O37">
        <f t="shared" si="2"/>
        <v>7.8223206435014809</v>
      </c>
      <c r="P37">
        <f t="shared" si="3"/>
        <v>3.7125085485394207</v>
      </c>
      <c r="Q37">
        <f t="shared" si="4"/>
        <v>11.160321750740872</v>
      </c>
      <c r="R37">
        <f t="shared" si="5"/>
        <v>7.2426482560979579</v>
      </c>
      <c r="S37">
        <f t="shared" si="6"/>
        <v>3.6441202331715896</v>
      </c>
      <c r="T37">
        <f t="shared" si="7"/>
        <v>3.5724753313576705</v>
      </c>
      <c r="U37">
        <f t="shared" si="8"/>
        <v>3.5757319178037572</v>
      </c>
      <c r="V37">
        <f t="shared" si="9"/>
        <v>18.00566646041619</v>
      </c>
      <c r="W37">
        <f t="shared" si="10"/>
        <v>99.999999999999986</v>
      </c>
    </row>
    <row r="38" spans="1:23" x14ac:dyDescent="0.3">
      <c r="A38" t="s">
        <v>30</v>
      </c>
      <c r="B38">
        <v>2014</v>
      </c>
      <c r="C38" t="s">
        <v>31</v>
      </c>
      <c r="D38">
        <f>'All_India_Index_Upto_April23 (1'!D38+'All_India_Index_Upto_April23 (1'!G38+'All_India_Index_Upto_April23 (1'!H38+'All_India_Index_Upto_April23 (1'!I38+'All_India_Index_Upto_April23 (1'!J38+'All_India_Index_Upto_April23 (1'!K38+'All_India_Index_Upto_April23 (1'!L38+'All_India_Index_Upto_April23 (1'!M38+'All_India_Index_Upto_April23 (1'!N38+'All_India_Index_Upto_April23 (1'!O38+'All_India_Index_Upto_April23 (1'!P38</f>
        <v>1249</v>
      </c>
      <c r="E38">
        <f>'All_India_Index_Upto_April23 (1'!E38+'All_India_Index_Upto_April23 (1'!F38</f>
        <v>237.6</v>
      </c>
      <c r="F38">
        <v>114</v>
      </c>
      <c r="G38">
        <f>'All_India_Index_Upto_April23 (1'!R38+'All_India_Index_Upto_April23 (1'!S38+'All_India_Index_Upto_April23 (1'!T38</f>
        <v>347.2</v>
      </c>
      <c r="H38">
        <f>'All_India_Index_Upto_April23 (1'!U38+'All_India_Index_Upto_April23 (1'!W38</f>
        <v>112.6</v>
      </c>
      <c r="I38">
        <v>113</v>
      </c>
      <c r="J38">
        <v>110.6</v>
      </c>
      <c r="K38">
        <v>110.5</v>
      </c>
      <c r="L38">
        <f>'All_India_Index_Upto_April23 (1'!Z38+'All_India_Index_Upto_April23 (1'!AA38+'All_India_Index_Upto_April23 (1'!AB38+'All_India_Index_Upto_April23 (1'!AC38+'All_India_Index_Upto_April23 (1'!AD38</f>
        <v>554.5</v>
      </c>
      <c r="M38">
        <f t="shared" si="0"/>
        <v>2949</v>
      </c>
      <c r="N38">
        <f t="shared" si="1"/>
        <v>42.353340115293321</v>
      </c>
      <c r="O38">
        <f t="shared" si="2"/>
        <v>8.0569684638860632</v>
      </c>
      <c r="P38">
        <f t="shared" si="3"/>
        <v>3.8657171922685656</v>
      </c>
      <c r="Q38">
        <f t="shared" si="4"/>
        <v>11.773482536453034</v>
      </c>
      <c r="R38">
        <f t="shared" si="5"/>
        <v>3.8182434723635126</v>
      </c>
      <c r="S38">
        <f t="shared" si="6"/>
        <v>3.8318073923363851</v>
      </c>
      <c r="T38">
        <f t="shared" si="7"/>
        <v>3.7504238724991521</v>
      </c>
      <c r="U38">
        <f t="shared" si="8"/>
        <v>3.747032892505934</v>
      </c>
      <c r="V38">
        <f t="shared" si="9"/>
        <v>18.802984062394032</v>
      </c>
      <c r="W38">
        <f t="shared" si="10"/>
        <v>99.999999999999986</v>
      </c>
    </row>
    <row r="39" spans="1:23" x14ac:dyDescent="0.3">
      <c r="A39" t="s">
        <v>32</v>
      </c>
      <c r="B39">
        <v>2014</v>
      </c>
      <c r="C39" t="s">
        <v>31</v>
      </c>
      <c r="D39">
        <f>'All_India_Index_Upto_April23 (1'!D39+'All_India_Index_Upto_April23 (1'!G39+'All_India_Index_Upto_April23 (1'!H39+'All_India_Index_Upto_April23 (1'!I39+'All_India_Index_Upto_April23 (1'!J39+'All_India_Index_Upto_April23 (1'!K39+'All_India_Index_Upto_April23 (1'!L39+'All_India_Index_Upto_April23 (1'!M39+'All_India_Index_Upto_April23 (1'!N39+'All_India_Index_Upto_April23 (1'!O39+'All_India_Index_Upto_April23 (1'!P39</f>
        <v>1232.4000000000001</v>
      </c>
      <c r="E39">
        <f>'All_India_Index_Upto_April23 (1'!E39+'All_India_Index_Upto_April23 (1'!F39</f>
        <v>251.9</v>
      </c>
      <c r="F39">
        <v>115.7</v>
      </c>
      <c r="G39">
        <f>'All_India_Index_Upto_April23 (1'!R39+'All_India_Index_Upto_April23 (1'!S39+'All_India_Index_Upto_April23 (1'!T39</f>
        <v>340.4</v>
      </c>
      <c r="H39">
        <f>'All_India_Index_Upto_April23 (1'!U39+'All_India_Index_Upto_April23 (1'!W39</f>
        <v>223.5</v>
      </c>
      <c r="I39">
        <v>111</v>
      </c>
      <c r="J39">
        <v>109.7</v>
      </c>
      <c r="K39">
        <v>110.8</v>
      </c>
      <c r="L39">
        <f>'All_India_Index_Upto_April23 (1'!Z39+'All_India_Index_Upto_April23 (1'!AA39+'All_India_Index_Upto_April23 (1'!AB39+'All_India_Index_Upto_April23 (1'!AC39+'All_India_Index_Upto_April23 (1'!AD39</f>
        <v>552.70000000000005</v>
      </c>
      <c r="M39">
        <f t="shared" si="0"/>
        <v>3048.1000000000004</v>
      </c>
      <c r="N39">
        <f t="shared" si="1"/>
        <v>40.43174436534234</v>
      </c>
      <c r="O39">
        <f t="shared" si="2"/>
        <v>8.2641645615301318</v>
      </c>
      <c r="P39">
        <f t="shared" si="3"/>
        <v>3.7958072241724352</v>
      </c>
      <c r="Q39">
        <f t="shared" si="4"/>
        <v>11.167612611134803</v>
      </c>
      <c r="R39">
        <f t="shared" si="5"/>
        <v>7.3324365998490846</v>
      </c>
      <c r="S39">
        <f t="shared" si="6"/>
        <v>3.6416128079787407</v>
      </c>
      <c r="T39">
        <f t="shared" si="7"/>
        <v>3.5989632886060163</v>
      </c>
      <c r="U39">
        <f t="shared" si="8"/>
        <v>3.6350513434598595</v>
      </c>
      <c r="V39">
        <f t="shared" si="9"/>
        <v>18.132607197926575</v>
      </c>
      <c r="W39">
        <f t="shared" si="10"/>
        <v>100</v>
      </c>
    </row>
    <row r="40" spans="1:23" x14ac:dyDescent="0.3">
      <c r="A40" t="s">
        <v>33</v>
      </c>
      <c r="B40">
        <v>2014</v>
      </c>
      <c r="C40" t="s">
        <v>31</v>
      </c>
      <c r="D40">
        <f>'All_India_Index_Upto_April23 (1'!D40+'All_India_Index_Upto_April23 (1'!G40+'All_India_Index_Upto_April23 (1'!H40+'All_India_Index_Upto_April23 (1'!I40+'All_India_Index_Upto_April23 (1'!J40+'All_India_Index_Upto_April23 (1'!K40+'All_India_Index_Upto_April23 (1'!L40+'All_India_Index_Upto_April23 (1'!M40+'All_India_Index_Upto_April23 (1'!N40+'All_India_Index_Upto_April23 (1'!O40+'All_India_Index_Upto_April23 (1'!P40</f>
        <v>1242.8999999999999</v>
      </c>
      <c r="E40">
        <f>'All_India_Index_Upto_April23 (1'!E40+'All_India_Index_Upto_April23 (1'!F40</f>
        <v>242.89999999999998</v>
      </c>
      <c r="F40">
        <v>114.5</v>
      </c>
      <c r="G40">
        <f>'All_India_Index_Upto_April23 (1'!R40+'All_India_Index_Upto_April23 (1'!S40+'All_India_Index_Upto_April23 (1'!T40</f>
        <v>344.4</v>
      </c>
      <c r="H40">
        <f>'All_India_Index_Upto_April23 (1'!U40+'All_India_Index_Upto_April23 (1'!W40</f>
        <v>223.89999999999998</v>
      </c>
      <c r="I40">
        <v>112.2</v>
      </c>
      <c r="J40">
        <v>110.3</v>
      </c>
      <c r="K40">
        <v>110.7</v>
      </c>
      <c r="L40">
        <f>'All_India_Index_Upto_April23 (1'!Z40+'All_India_Index_Upto_April23 (1'!AA40+'All_India_Index_Upto_April23 (1'!AB40+'All_India_Index_Upto_April23 (1'!AC40+'All_India_Index_Upto_April23 (1'!AD40</f>
        <v>553.70000000000005</v>
      </c>
      <c r="M40">
        <f t="shared" si="0"/>
        <v>3055.5</v>
      </c>
      <c r="N40">
        <f t="shared" si="1"/>
        <v>40.677466863033871</v>
      </c>
      <c r="O40">
        <f t="shared" si="2"/>
        <v>7.9495990836197015</v>
      </c>
      <c r="P40">
        <f t="shared" si="3"/>
        <v>3.7473408607429226</v>
      </c>
      <c r="Q40">
        <f t="shared" si="4"/>
        <v>11.27147766323024</v>
      </c>
      <c r="R40">
        <f t="shared" si="5"/>
        <v>7.3277695958108318</v>
      </c>
      <c r="S40">
        <f t="shared" si="6"/>
        <v>3.6720667648502703</v>
      </c>
      <c r="T40">
        <f t="shared" si="7"/>
        <v>3.6098838160693827</v>
      </c>
      <c r="U40">
        <f t="shared" si="8"/>
        <v>3.6229749631811492</v>
      </c>
      <c r="V40">
        <f t="shared" si="9"/>
        <v>18.12142038946163</v>
      </c>
      <c r="W40">
        <f t="shared" si="10"/>
        <v>100.00000000000001</v>
      </c>
    </row>
    <row r="41" spans="1:23" x14ac:dyDescent="0.3">
      <c r="A41" t="s">
        <v>30</v>
      </c>
      <c r="B41">
        <v>2014</v>
      </c>
      <c r="C41" t="s">
        <v>34</v>
      </c>
      <c r="D41">
        <f>'All_India_Index_Upto_April23 (1'!D41+'All_India_Index_Upto_April23 (1'!G41+'All_India_Index_Upto_April23 (1'!H41+'All_India_Index_Upto_April23 (1'!I41+'All_India_Index_Upto_April23 (1'!J41+'All_India_Index_Upto_April23 (1'!K41+'All_India_Index_Upto_April23 (1'!L41+'All_India_Index_Upto_April23 (1'!M41+'All_India_Index_Upto_April23 (1'!N41+'All_India_Index_Upto_April23 (1'!O41+'All_India_Index_Upto_April23 (1'!P41</f>
        <v>1243.3</v>
      </c>
      <c r="E41">
        <f>'All_India_Index_Upto_April23 (1'!E41+'All_India_Index_Upto_April23 (1'!F41</f>
        <v>238.9</v>
      </c>
      <c r="F41">
        <v>114.2</v>
      </c>
      <c r="G41">
        <f>'All_India_Index_Upto_April23 (1'!R41+'All_India_Index_Upto_April23 (1'!S41+'All_India_Index_Upto_April23 (1'!T41</f>
        <v>348.3</v>
      </c>
      <c r="H41">
        <f>'All_India_Index_Upto_April23 (1'!U41+'All_India_Index_Upto_April23 (1'!W41</f>
        <v>112.9</v>
      </c>
      <c r="I41">
        <v>113.2</v>
      </c>
      <c r="J41">
        <v>110.9</v>
      </c>
      <c r="K41">
        <v>110.8</v>
      </c>
      <c r="L41">
        <f>'All_India_Index_Upto_April23 (1'!Z41+'All_India_Index_Upto_April23 (1'!AA41+'All_India_Index_Upto_April23 (1'!AB41+'All_India_Index_Upto_April23 (1'!AC41+'All_India_Index_Upto_April23 (1'!AD41</f>
        <v>555.5</v>
      </c>
      <c r="M41">
        <f t="shared" si="0"/>
        <v>2948</v>
      </c>
      <c r="N41">
        <f t="shared" si="1"/>
        <v>42.174355495251014</v>
      </c>
      <c r="O41">
        <f t="shared" si="2"/>
        <v>8.1037991858887377</v>
      </c>
      <c r="P41">
        <f t="shared" si="3"/>
        <v>3.8738127544097694</v>
      </c>
      <c r="Q41">
        <f t="shared" si="4"/>
        <v>11.814789687924018</v>
      </c>
      <c r="R41">
        <f t="shared" si="5"/>
        <v>3.8297150610583448</v>
      </c>
      <c r="S41">
        <f t="shared" si="6"/>
        <v>3.8398914518317504</v>
      </c>
      <c r="T41">
        <f t="shared" si="7"/>
        <v>3.7618724559023069</v>
      </c>
      <c r="U41">
        <f t="shared" si="8"/>
        <v>3.7584803256445047</v>
      </c>
      <c r="V41">
        <f t="shared" si="9"/>
        <v>18.843283582089551</v>
      </c>
      <c r="W41">
        <f t="shared" si="10"/>
        <v>100</v>
      </c>
    </row>
    <row r="42" spans="1:23" x14ac:dyDescent="0.3">
      <c r="A42" t="s">
        <v>32</v>
      </c>
      <c r="B42">
        <v>2014</v>
      </c>
      <c r="C42" t="s">
        <v>34</v>
      </c>
      <c r="D42">
        <f>'All_India_Index_Upto_April23 (1'!D42+'All_India_Index_Upto_April23 (1'!G42+'All_India_Index_Upto_April23 (1'!H42+'All_India_Index_Upto_April23 (1'!I42+'All_India_Index_Upto_April23 (1'!J42+'All_India_Index_Upto_April23 (1'!K42+'All_India_Index_Upto_April23 (1'!L42+'All_India_Index_Upto_April23 (1'!M42+'All_India_Index_Upto_April23 (1'!N42+'All_India_Index_Upto_April23 (1'!O42+'All_India_Index_Upto_April23 (1'!P42</f>
        <v>1229.5000000000002</v>
      </c>
      <c r="E42">
        <f>'All_India_Index_Upto_April23 (1'!E42+'All_India_Index_Upto_April23 (1'!F42</f>
        <v>246.5</v>
      </c>
      <c r="F42">
        <v>116.2</v>
      </c>
      <c r="G42">
        <f>'All_India_Index_Upto_April23 (1'!R42+'All_India_Index_Upto_April23 (1'!S42+'All_India_Index_Upto_April23 (1'!T42</f>
        <v>341.7</v>
      </c>
      <c r="H42">
        <f>'All_India_Index_Upto_April23 (1'!U42+'All_India_Index_Upto_April23 (1'!W42</f>
        <v>225.1</v>
      </c>
      <c r="I42">
        <v>111.1</v>
      </c>
      <c r="J42">
        <v>110.4</v>
      </c>
      <c r="K42">
        <v>111.3</v>
      </c>
      <c r="L42">
        <f>'All_India_Index_Upto_April23 (1'!Z42+'All_India_Index_Upto_April23 (1'!AA42+'All_India_Index_Upto_April23 (1'!AB42+'All_India_Index_Upto_April23 (1'!AC42+'All_India_Index_Upto_April23 (1'!AD42</f>
        <v>554.69999999999993</v>
      </c>
      <c r="M42">
        <f t="shared" si="0"/>
        <v>3046.5000000000005</v>
      </c>
      <c r="N42">
        <f t="shared" si="1"/>
        <v>40.357787625143608</v>
      </c>
      <c r="O42">
        <f t="shared" si="2"/>
        <v>8.0912522566880014</v>
      </c>
      <c r="P42">
        <f t="shared" si="3"/>
        <v>3.8142130313474474</v>
      </c>
      <c r="Q42">
        <f t="shared" si="4"/>
        <v>11.216149679960608</v>
      </c>
      <c r="R42">
        <f t="shared" si="5"/>
        <v>7.3888068275069747</v>
      </c>
      <c r="S42">
        <f t="shared" si="6"/>
        <v>3.6468078122435577</v>
      </c>
      <c r="T42">
        <f t="shared" si="7"/>
        <v>3.6238306253077299</v>
      </c>
      <c r="U42">
        <f t="shared" si="8"/>
        <v>3.6533727227966515</v>
      </c>
      <c r="V42">
        <f t="shared" si="9"/>
        <v>18.207779419005409</v>
      </c>
      <c r="W42">
        <f t="shared" si="10"/>
        <v>99.999999999999972</v>
      </c>
    </row>
    <row r="43" spans="1:23" x14ac:dyDescent="0.3">
      <c r="A43" t="s">
        <v>33</v>
      </c>
      <c r="B43">
        <v>2014</v>
      </c>
      <c r="C43" t="s">
        <v>34</v>
      </c>
      <c r="D43">
        <f>'All_India_Index_Upto_April23 (1'!D43+'All_India_Index_Upto_April23 (1'!G43+'All_India_Index_Upto_April23 (1'!H43+'All_India_Index_Upto_April23 (1'!I43+'All_India_Index_Upto_April23 (1'!J43+'All_India_Index_Upto_April23 (1'!K43+'All_India_Index_Upto_April23 (1'!L43+'All_India_Index_Upto_April23 (1'!M43+'All_India_Index_Upto_April23 (1'!N43+'All_India_Index_Upto_April23 (1'!O43+'All_India_Index_Upto_April23 (1'!P43</f>
        <v>1238.3999999999999</v>
      </c>
      <c r="E43">
        <f>'All_India_Index_Upto_April23 (1'!E43+'All_India_Index_Upto_April23 (1'!F43</f>
        <v>241.7</v>
      </c>
      <c r="F43">
        <v>114.7</v>
      </c>
      <c r="G43">
        <f>'All_India_Index_Upto_April23 (1'!R43+'All_India_Index_Upto_April23 (1'!S43+'All_India_Index_Upto_April23 (1'!T43</f>
        <v>345.6</v>
      </c>
      <c r="H43">
        <f>'All_India_Index_Upto_April23 (1'!U43+'All_India_Index_Upto_April23 (1'!W43</f>
        <v>225.3</v>
      </c>
      <c r="I43">
        <v>112.4</v>
      </c>
      <c r="J43">
        <v>110.7</v>
      </c>
      <c r="K43">
        <v>111.1</v>
      </c>
      <c r="L43">
        <f>'All_India_Index_Upto_April23 (1'!Z43+'All_India_Index_Upto_April23 (1'!AA43+'All_India_Index_Upto_April23 (1'!AB43+'All_India_Index_Upto_April23 (1'!AC43+'All_India_Index_Upto_April23 (1'!AD43</f>
        <v>555.1</v>
      </c>
      <c r="M43">
        <f t="shared" si="0"/>
        <v>3055</v>
      </c>
      <c r="N43">
        <f t="shared" si="1"/>
        <v>40.536824877250403</v>
      </c>
      <c r="O43">
        <f t="shared" si="2"/>
        <v>7.9116202945990173</v>
      </c>
      <c r="P43">
        <f t="shared" si="3"/>
        <v>3.7545008183306057</v>
      </c>
      <c r="Q43">
        <f t="shared" si="4"/>
        <v>11.312602291325696</v>
      </c>
      <c r="R43">
        <f t="shared" si="5"/>
        <v>7.3747954173486088</v>
      </c>
      <c r="S43">
        <f t="shared" si="6"/>
        <v>3.679214402618658</v>
      </c>
      <c r="T43">
        <f t="shared" si="7"/>
        <v>3.6235679214402619</v>
      </c>
      <c r="U43">
        <f t="shared" si="8"/>
        <v>3.636661211129296</v>
      </c>
      <c r="V43">
        <f t="shared" si="9"/>
        <v>18.170212765957448</v>
      </c>
      <c r="W43">
        <f t="shared" si="10"/>
        <v>99.999999999999986</v>
      </c>
    </row>
    <row r="44" spans="1:23" x14ac:dyDescent="0.3">
      <c r="A44" t="s">
        <v>30</v>
      </c>
      <c r="B44">
        <v>2014</v>
      </c>
      <c r="C44" t="s">
        <v>35</v>
      </c>
      <c r="D44">
        <f>'All_India_Index_Upto_April23 (1'!D44+'All_India_Index_Upto_April23 (1'!G44+'All_India_Index_Upto_April23 (1'!H44+'All_India_Index_Upto_April23 (1'!I44+'All_India_Index_Upto_April23 (1'!J44+'All_India_Index_Upto_April23 (1'!K44+'All_India_Index_Upto_April23 (1'!L44+'All_India_Index_Upto_April23 (1'!M44+'All_India_Index_Upto_April23 (1'!N44+'All_India_Index_Upto_April23 (1'!O44+'All_India_Index_Upto_April23 (1'!P44</f>
        <v>1252.6000000000001</v>
      </c>
      <c r="E44">
        <f>'All_India_Index_Upto_April23 (1'!E44+'All_India_Index_Upto_April23 (1'!F44</f>
        <v>238.8</v>
      </c>
      <c r="F44">
        <v>114.6</v>
      </c>
      <c r="G44">
        <f>'All_India_Index_Upto_April23 (1'!R44+'All_India_Index_Upto_April23 (1'!S44+'All_India_Index_Upto_April23 (1'!T44</f>
        <v>349.6</v>
      </c>
      <c r="H44">
        <f>'All_India_Index_Upto_April23 (1'!U44+'All_India_Index_Upto_April23 (1'!W44</f>
        <v>113.4</v>
      </c>
      <c r="I44">
        <v>113.4</v>
      </c>
      <c r="J44">
        <v>111.4</v>
      </c>
      <c r="K44">
        <v>111.2</v>
      </c>
      <c r="L44">
        <f>'All_India_Index_Upto_April23 (1'!Z44+'All_India_Index_Upto_April23 (1'!AA44+'All_India_Index_Upto_April23 (1'!AB44+'All_India_Index_Upto_April23 (1'!AC44+'All_India_Index_Upto_April23 (1'!AD44</f>
        <v>557.4</v>
      </c>
      <c r="M44">
        <f t="shared" si="0"/>
        <v>2962.4</v>
      </c>
      <c r="N44">
        <f t="shared" si="1"/>
        <v>42.283283823926546</v>
      </c>
      <c r="O44">
        <f t="shared" si="2"/>
        <v>8.0610315960032395</v>
      </c>
      <c r="P44">
        <f t="shared" si="3"/>
        <v>3.8684850121523082</v>
      </c>
      <c r="Q44">
        <f t="shared" si="4"/>
        <v>11.801242236024844</v>
      </c>
      <c r="R44">
        <f t="shared" si="5"/>
        <v>3.827977315689981</v>
      </c>
      <c r="S44">
        <f t="shared" si="6"/>
        <v>3.827977315689981</v>
      </c>
      <c r="T44">
        <f t="shared" si="7"/>
        <v>3.7604644882527682</v>
      </c>
      <c r="U44">
        <f t="shared" si="8"/>
        <v>3.753713205509047</v>
      </c>
      <c r="V44">
        <f t="shared" si="9"/>
        <v>18.815825006751282</v>
      </c>
      <c r="W44">
        <f t="shared" si="10"/>
        <v>99.999999999999986</v>
      </c>
    </row>
    <row r="45" spans="1:23" x14ac:dyDescent="0.3">
      <c r="A45" t="s">
        <v>32</v>
      </c>
      <c r="B45">
        <v>2014</v>
      </c>
      <c r="C45" t="s">
        <v>35</v>
      </c>
      <c r="D45">
        <f>'All_India_Index_Upto_April23 (1'!D45+'All_India_Index_Upto_April23 (1'!G45+'All_India_Index_Upto_April23 (1'!H45+'All_India_Index_Upto_April23 (1'!I45+'All_India_Index_Upto_April23 (1'!J45+'All_India_Index_Upto_April23 (1'!K45+'All_India_Index_Upto_April23 (1'!L45+'All_India_Index_Upto_April23 (1'!M45+'All_India_Index_Upto_April23 (1'!N45+'All_India_Index_Upto_April23 (1'!O45+'All_India_Index_Upto_April23 (1'!P45</f>
        <v>1240.0999999999999</v>
      </c>
      <c r="E45">
        <f>'All_India_Index_Upto_April23 (1'!E45+'All_India_Index_Upto_April23 (1'!F45</f>
        <v>242.9</v>
      </c>
      <c r="F45">
        <v>116.7</v>
      </c>
      <c r="G45">
        <f>'All_India_Index_Upto_April23 (1'!R45+'All_India_Index_Upto_April23 (1'!S45+'All_India_Index_Upto_April23 (1'!T45</f>
        <v>343.09999999999997</v>
      </c>
      <c r="H45">
        <f>'All_India_Index_Upto_April23 (1'!U45+'All_India_Index_Upto_April23 (1'!W45</f>
        <v>226.2</v>
      </c>
      <c r="I45">
        <v>110.9</v>
      </c>
      <c r="J45">
        <v>110.8</v>
      </c>
      <c r="K45">
        <v>111.6</v>
      </c>
      <c r="L45">
        <f>'All_India_Index_Upto_April23 (1'!Z45+'All_India_Index_Upto_April23 (1'!AA45+'All_India_Index_Upto_April23 (1'!AB45+'All_India_Index_Upto_April23 (1'!AC45+'All_India_Index_Upto_April23 (1'!AD45</f>
        <v>557</v>
      </c>
      <c r="M45">
        <f t="shared" si="0"/>
        <v>3059.3</v>
      </c>
      <c r="N45">
        <f t="shared" si="1"/>
        <v>40.535416598568297</v>
      </c>
      <c r="O45">
        <f t="shared" si="2"/>
        <v>7.9397247736410286</v>
      </c>
      <c r="P45">
        <f t="shared" si="3"/>
        <v>3.8145981106789137</v>
      </c>
      <c r="Q45">
        <f t="shared" si="4"/>
        <v>11.214983819828063</v>
      </c>
      <c r="R45">
        <f t="shared" si="5"/>
        <v>7.3938482659431886</v>
      </c>
      <c r="S45">
        <f t="shared" si="6"/>
        <v>3.6250122577060111</v>
      </c>
      <c r="T45">
        <f t="shared" si="7"/>
        <v>3.6217435361030295</v>
      </c>
      <c r="U45">
        <f t="shared" si="8"/>
        <v>3.6478933089268786</v>
      </c>
      <c r="V45">
        <f t="shared" si="9"/>
        <v>18.206779328604579</v>
      </c>
      <c r="W45">
        <f t="shared" si="10"/>
        <v>99.999999999999986</v>
      </c>
    </row>
    <row r="46" spans="1:23" x14ac:dyDescent="0.3">
      <c r="A46" t="s">
        <v>33</v>
      </c>
      <c r="B46">
        <v>2014</v>
      </c>
      <c r="C46" t="s">
        <v>46</v>
      </c>
      <c r="D46">
        <f>'All_India_Index_Upto_April23 (1'!D46+'All_India_Index_Upto_April23 (1'!G46+'All_India_Index_Upto_April23 (1'!H46+'All_India_Index_Upto_April23 (1'!I46+'All_India_Index_Upto_April23 (1'!J46+'All_India_Index_Upto_April23 (1'!K46+'All_India_Index_Upto_April23 (1'!L46+'All_India_Index_Upto_April23 (1'!M46+'All_India_Index_Upto_April23 (1'!N46+'All_India_Index_Upto_April23 (1'!O46+'All_India_Index_Upto_April23 (1'!P46</f>
        <v>1248</v>
      </c>
      <c r="E46">
        <f>'All_India_Index_Upto_April23 (1'!E46+'All_India_Index_Upto_April23 (1'!F46</f>
        <v>240.3</v>
      </c>
      <c r="F46">
        <v>115.2</v>
      </c>
      <c r="G46">
        <f>'All_India_Index_Upto_April23 (1'!R46+'All_India_Index_Upto_April23 (1'!S46+'All_India_Index_Upto_April23 (1'!T46</f>
        <v>346.9</v>
      </c>
      <c r="H46">
        <f>'All_India_Index_Upto_April23 (1'!U46+'All_India_Index_Upto_April23 (1'!W46</f>
        <v>226.4</v>
      </c>
      <c r="I46">
        <v>112.5</v>
      </c>
      <c r="J46">
        <v>111.2</v>
      </c>
      <c r="K46">
        <v>111.4</v>
      </c>
      <c r="L46">
        <f>'All_India_Index_Upto_April23 (1'!Z46+'All_India_Index_Upto_April23 (1'!AA46+'All_India_Index_Upto_April23 (1'!AB46+'All_India_Index_Upto_April23 (1'!AC46+'All_India_Index_Upto_April23 (1'!AD46</f>
        <v>557.1</v>
      </c>
      <c r="M46">
        <f t="shared" si="0"/>
        <v>3069</v>
      </c>
      <c r="N46">
        <f t="shared" si="1"/>
        <v>40.664711632453567</v>
      </c>
      <c r="O46">
        <f t="shared" si="2"/>
        <v>7.8299120234604116</v>
      </c>
      <c r="P46">
        <f t="shared" si="3"/>
        <v>3.7536656891495603</v>
      </c>
      <c r="Q46">
        <f t="shared" si="4"/>
        <v>11.30335614206582</v>
      </c>
      <c r="R46">
        <f t="shared" si="5"/>
        <v>7.3769957640925377</v>
      </c>
      <c r="S46">
        <f t="shared" si="6"/>
        <v>3.6656891495601176</v>
      </c>
      <c r="T46">
        <f t="shared" si="7"/>
        <v>3.6233300749429787</v>
      </c>
      <c r="U46">
        <f t="shared" si="8"/>
        <v>3.6298468556533079</v>
      </c>
      <c r="V46">
        <f t="shared" si="9"/>
        <v>18.152492668621701</v>
      </c>
      <c r="W46">
        <f t="shared" si="10"/>
        <v>100.00000000000003</v>
      </c>
    </row>
    <row r="47" spans="1:23" x14ac:dyDescent="0.3">
      <c r="A47" t="s">
        <v>30</v>
      </c>
      <c r="B47">
        <v>2014</v>
      </c>
      <c r="C47" t="s">
        <v>36</v>
      </c>
      <c r="D47">
        <f>'All_India_Index_Upto_April23 (1'!D47+'All_India_Index_Upto_April23 (1'!G47+'All_India_Index_Upto_April23 (1'!H47+'All_India_Index_Upto_April23 (1'!I47+'All_India_Index_Upto_April23 (1'!J47+'All_India_Index_Upto_April23 (1'!K47+'All_India_Index_Upto_April23 (1'!L47+'All_India_Index_Upto_April23 (1'!M47+'All_India_Index_Upto_April23 (1'!N47+'All_India_Index_Upto_April23 (1'!O47+'All_India_Index_Upto_April23 (1'!P47</f>
        <v>1267.1000000000001</v>
      </c>
      <c r="E47">
        <f>'All_India_Index_Upto_April23 (1'!E47+'All_India_Index_Upto_April23 (1'!F47</f>
        <v>237</v>
      </c>
      <c r="F47">
        <v>115.4</v>
      </c>
      <c r="G47">
        <f>'All_India_Index_Upto_April23 (1'!R47+'All_India_Index_Upto_April23 (1'!S47+'All_India_Index_Upto_April23 (1'!T47</f>
        <v>352</v>
      </c>
      <c r="H47">
        <f>'All_India_Index_Upto_April23 (1'!U47+'All_India_Index_Upto_April23 (1'!W47</f>
        <v>113.7</v>
      </c>
      <c r="I47">
        <v>113.4</v>
      </c>
      <c r="J47">
        <v>111.8</v>
      </c>
      <c r="K47">
        <v>111.2</v>
      </c>
      <c r="L47">
        <f>'All_India_Index_Upto_April23 (1'!Z47+'All_India_Index_Upto_April23 (1'!AA47+'All_India_Index_Upto_April23 (1'!AB47+'All_India_Index_Upto_April23 (1'!AC47+'All_India_Index_Upto_April23 (1'!AD47</f>
        <v>559.29999999999995</v>
      </c>
      <c r="M47">
        <f t="shared" si="0"/>
        <v>2980.9000000000005</v>
      </c>
      <c r="N47">
        <f t="shared" si="1"/>
        <v>42.507296454091041</v>
      </c>
      <c r="O47">
        <f t="shared" si="2"/>
        <v>7.9506189405884111</v>
      </c>
      <c r="P47">
        <f t="shared" si="3"/>
        <v>3.8713140326746949</v>
      </c>
      <c r="Q47">
        <f t="shared" si="4"/>
        <v>11.808514207118654</v>
      </c>
      <c r="R47">
        <f t="shared" si="5"/>
        <v>3.8142842765607696</v>
      </c>
      <c r="S47">
        <f t="shared" si="6"/>
        <v>3.8042202019524303</v>
      </c>
      <c r="T47">
        <f t="shared" si="7"/>
        <v>3.7505451373746177</v>
      </c>
      <c r="U47">
        <f t="shared" si="8"/>
        <v>3.7304169881579385</v>
      </c>
      <c r="V47">
        <f t="shared" si="9"/>
        <v>18.762789761481429</v>
      </c>
      <c r="W47">
        <f t="shared" si="10"/>
        <v>99.999999999999986</v>
      </c>
    </row>
    <row r="48" spans="1:23" x14ac:dyDescent="0.3">
      <c r="A48" t="s">
        <v>32</v>
      </c>
      <c r="B48">
        <v>2014</v>
      </c>
      <c r="C48" t="s">
        <v>36</v>
      </c>
      <c r="D48">
        <f>'All_India_Index_Upto_April23 (1'!D48+'All_India_Index_Upto_April23 (1'!G48+'All_India_Index_Upto_April23 (1'!H48+'All_India_Index_Upto_April23 (1'!I48+'All_India_Index_Upto_April23 (1'!J48+'All_India_Index_Upto_April23 (1'!K48+'All_India_Index_Upto_April23 (1'!L48+'All_India_Index_Upto_April23 (1'!M48+'All_India_Index_Upto_April23 (1'!N48+'All_India_Index_Upto_April23 (1'!O48+'All_India_Index_Upto_April23 (1'!P48</f>
        <v>1269</v>
      </c>
      <c r="E48">
        <f>'All_India_Index_Upto_April23 (1'!E48+'All_India_Index_Upto_April23 (1'!F48</f>
        <v>235</v>
      </c>
      <c r="F48">
        <v>117.6</v>
      </c>
      <c r="G48">
        <f>'All_India_Index_Upto_April23 (1'!R48+'All_India_Index_Upto_April23 (1'!S48+'All_India_Index_Upto_April23 (1'!T48</f>
        <v>344.5</v>
      </c>
      <c r="H48">
        <f>'All_India_Index_Upto_April23 (1'!U48+'All_India_Index_Upto_April23 (1'!W48</f>
        <v>227.3</v>
      </c>
      <c r="I48">
        <v>110.9</v>
      </c>
      <c r="J48">
        <v>111</v>
      </c>
      <c r="K48">
        <v>111.2</v>
      </c>
      <c r="L48">
        <f>'All_India_Index_Upto_April23 (1'!Z48+'All_India_Index_Upto_April23 (1'!AA48+'All_India_Index_Upto_April23 (1'!AB48+'All_India_Index_Upto_April23 (1'!AC48+'All_India_Index_Upto_April23 (1'!AD48</f>
        <v>558.9</v>
      </c>
      <c r="M48">
        <f t="shared" si="0"/>
        <v>3085.4</v>
      </c>
      <c r="N48">
        <f t="shared" si="1"/>
        <v>41.129189084073374</v>
      </c>
      <c r="O48">
        <f t="shared" si="2"/>
        <v>7.6165164970506254</v>
      </c>
      <c r="P48">
        <f t="shared" si="3"/>
        <v>3.811499319375121</v>
      </c>
      <c r="Q48">
        <f t="shared" si="4"/>
        <v>11.165489077591236</v>
      </c>
      <c r="R48">
        <f t="shared" si="5"/>
        <v>7.3669540416153492</v>
      </c>
      <c r="S48">
        <f t="shared" si="6"/>
        <v>3.5943475724379335</v>
      </c>
      <c r="T48">
        <f t="shared" si="7"/>
        <v>3.5975886432877422</v>
      </c>
      <c r="U48">
        <f t="shared" si="8"/>
        <v>3.6040707849873601</v>
      </c>
      <c r="V48">
        <f t="shared" si="9"/>
        <v>18.114344979581251</v>
      </c>
      <c r="W48">
        <f t="shared" si="10"/>
        <v>99.999999999999986</v>
      </c>
    </row>
    <row r="49" spans="1:23" x14ac:dyDescent="0.3">
      <c r="A49" t="s">
        <v>33</v>
      </c>
      <c r="B49">
        <v>2014</v>
      </c>
      <c r="C49" t="s">
        <v>36</v>
      </c>
      <c r="D49">
        <f>'All_India_Index_Upto_April23 (1'!D49+'All_India_Index_Upto_April23 (1'!G49+'All_India_Index_Upto_April23 (1'!H49+'All_India_Index_Upto_April23 (1'!I49+'All_India_Index_Upto_April23 (1'!J49+'All_India_Index_Upto_April23 (1'!K49+'All_India_Index_Upto_April23 (1'!L49+'All_India_Index_Upto_April23 (1'!M49+'All_India_Index_Upto_April23 (1'!N49+'All_India_Index_Upto_April23 (1'!O49+'All_India_Index_Upto_April23 (1'!P49</f>
        <v>1267.9999999999998</v>
      </c>
      <c r="E49">
        <f>'All_India_Index_Upto_April23 (1'!E49+'All_India_Index_Upto_April23 (1'!F49</f>
        <v>236.10000000000002</v>
      </c>
      <c r="F49">
        <v>116</v>
      </c>
      <c r="G49">
        <f>'All_India_Index_Upto_April23 (1'!R49+'All_India_Index_Upto_April23 (1'!S49+'All_India_Index_Upto_April23 (1'!T49</f>
        <v>349</v>
      </c>
      <c r="H49">
        <f>'All_India_Index_Upto_April23 (1'!U49+'All_India_Index_Upto_April23 (1'!W49</f>
        <v>227.5</v>
      </c>
      <c r="I49">
        <v>112.5</v>
      </c>
      <c r="J49">
        <v>111.5</v>
      </c>
      <c r="K49">
        <v>111.2</v>
      </c>
      <c r="L49">
        <f>'All_India_Index_Upto_April23 (1'!Z49+'All_India_Index_Upto_April23 (1'!AA49+'All_India_Index_Upto_April23 (1'!AB49+'All_India_Index_Upto_April23 (1'!AC49+'All_India_Index_Upto_April23 (1'!AD49</f>
        <v>559.20000000000005</v>
      </c>
      <c r="M49">
        <f t="shared" si="0"/>
        <v>3091</v>
      </c>
      <c r="N49">
        <f t="shared" si="1"/>
        <v>41.022322872856677</v>
      </c>
      <c r="O49">
        <f t="shared" si="2"/>
        <v>7.6383047557424781</v>
      </c>
      <c r="P49">
        <f t="shared" si="3"/>
        <v>3.7528307990941445</v>
      </c>
      <c r="Q49">
        <f t="shared" si="4"/>
        <v>11.290844386929797</v>
      </c>
      <c r="R49">
        <f t="shared" si="5"/>
        <v>7.3600776447751537</v>
      </c>
      <c r="S49">
        <f t="shared" si="6"/>
        <v>3.6395988353283726</v>
      </c>
      <c r="T49">
        <f t="shared" si="7"/>
        <v>3.6072468456810092</v>
      </c>
      <c r="U49">
        <f t="shared" si="8"/>
        <v>3.5975412487868006</v>
      </c>
      <c r="V49">
        <f t="shared" si="9"/>
        <v>18.091232610805566</v>
      </c>
      <c r="W49">
        <f t="shared" si="10"/>
        <v>99.999999999999986</v>
      </c>
    </row>
    <row r="50" spans="1:23" x14ac:dyDescent="0.3">
      <c r="A50" t="s">
        <v>30</v>
      </c>
      <c r="B50">
        <v>2014</v>
      </c>
      <c r="C50" t="s">
        <v>37</v>
      </c>
      <c r="D50">
        <f>'All_India_Index_Upto_April23 (1'!D50+'All_India_Index_Upto_April23 (1'!G50+'All_India_Index_Upto_April23 (1'!H50+'All_India_Index_Upto_April23 (1'!I50+'All_India_Index_Upto_April23 (1'!J50+'All_India_Index_Upto_April23 (1'!K50+'All_India_Index_Upto_April23 (1'!L50+'All_India_Index_Upto_April23 (1'!M50+'All_India_Index_Upto_April23 (1'!N50+'All_India_Index_Upto_April23 (1'!O50+'All_India_Index_Upto_April23 (1'!P50</f>
        <v>1276.8000000000002</v>
      </c>
      <c r="E50">
        <f>'All_India_Index_Upto_April23 (1'!E50+'All_India_Index_Upto_April23 (1'!F50</f>
        <v>237.10000000000002</v>
      </c>
      <c r="F50">
        <v>116.3</v>
      </c>
      <c r="G50">
        <f>'All_India_Index_Upto_April23 (1'!R50+'All_India_Index_Upto_April23 (1'!S50+'All_India_Index_Upto_April23 (1'!T50</f>
        <v>354</v>
      </c>
      <c r="H50">
        <f>'All_India_Index_Upto_April23 (1'!U50+'All_India_Index_Upto_April23 (1'!W50</f>
        <v>114.1</v>
      </c>
      <c r="I50">
        <v>113.4</v>
      </c>
      <c r="J50">
        <v>112.1</v>
      </c>
      <c r="K50">
        <v>111.4</v>
      </c>
      <c r="L50">
        <f>'All_India_Index_Upto_April23 (1'!Z50+'All_India_Index_Upto_April23 (1'!AA50+'All_India_Index_Upto_April23 (1'!AB50+'All_India_Index_Upto_April23 (1'!AC50+'All_India_Index_Upto_April23 (1'!AD50</f>
        <v>560.70000000000005</v>
      </c>
      <c r="M50">
        <f t="shared" si="0"/>
        <v>2995.9000000000005</v>
      </c>
      <c r="N50">
        <f t="shared" si="1"/>
        <v>42.618244934744148</v>
      </c>
      <c r="O50">
        <f t="shared" si="2"/>
        <v>7.9141493374278173</v>
      </c>
      <c r="P50">
        <f t="shared" si="3"/>
        <v>3.8819720284388652</v>
      </c>
      <c r="Q50">
        <f t="shared" si="4"/>
        <v>11.816148736606694</v>
      </c>
      <c r="R50">
        <f t="shared" si="5"/>
        <v>3.8085383357254905</v>
      </c>
      <c r="S50">
        <f t="shared" si="6"/>
        <v>3.7851730698621444</v>
      </c>
      <c r="T50">
        <f t="shared" si="7"/>
        <v>3.7417804332587861</v>
      </c>
      <c r="U50">
        <f t="shared" si="8"/>
        <v>3.71841516739544</v>
      </c>
      <c r="V50">
        <f t="shared" si="9"/>
        <v>18.715577956540606</v>
      </c>
      <c r="W50">
        <f t="shared" si="10"/>
        <v>99.999999999999972</v>
      </c>
    </row>
    <row r="51" spans="1:23" x14ac:dyDescent="0.3">
      <c r="A51" t="s">
        <v>32</v>
      </c>
      <c r="B51">
        <v>2014</v>
      </c>
      <c r="C51" t="s">
        <v>37</v>
      </c>
      <c r="D51">
        <f>'All_India_Index_Upto_April23 (1'!D51+'All_India_Index_Upto_April23 (1'!G51+'All_India_Index_Upto_April23 (1'!H51+'All_India_Index_Upto_April23 (1'!I51+'All_India_Index_Upto_April23 (1'!J51+'All_India_Index_Upto_April23 (1'!K51+'All_India_Index_Upto_April23 (1'!L51+'All_India_Index_Upto_April23 (1'!M51+'All_India_Index_Upto_April23 (1'!N51+'All_India_Index_Upto_April23 (1'!O51+'All_India_Index_Upto_April23 (1'!P51</f>
        <v>1287</v>
      </c>
      <c r="E51">
        <f>'All_India_Index_Upto_April23 (1'!E51+'All_India_Index_Upto_April23 (1'!F51</f>
        <v>238.3</v>
      </c>
      <c r="F51">
        <v>118.3</v>
      </c>
      <c r="G51">
        <f>'All_India_Index_Upto_April23 (1'!R51+'All_India_Index_Upto_April23 (1'!S51+'All_India_Index_Upto_April23 (1'!T51</f>
        <v>345.9</v>
      </c>
      <c r="H51">
        <f>'All_India_Index_Upto_April23 (1'!U51+'All_India_Index_Upto_April23 (1'!W51</f>
        <v>228.39999999999998</v>
      </c>
      <c r="I51">
        <v>111.1</v>
      </c>
      <c r="J51">
        <v>111.2</v>
      </c>
      <c r="K51">
        <v>111.3</v>
      </c>
      <c r="L51">
        <f>'All_India_Index_Upto_April23 (1'!Z51+'All_India_Index_Upto_April23 (1'!AA51+'All_India_Index_Upto_April23 (1'!AB51+'All_India_Index_Upto_April23 (1'!AC51+'All_India_Index_Upto_April23 (1'!AD51</f>
        <v>561</v>
      </c>
      <c r="M51">
        <f t="shared" si="0"/>
        <v>3112.5</v>
      </c>
      <c r="N51">
        <f t="shared" si="1"/>
        <v>41.349397590361448</v>
      </c>
      <c r="O51">
        <f t="shared" si="2"/>
        <v>7.656224899598393</v>
      </c>
      <c r="P51">
        <f t="shared" si="3"/>
        <v>3.800803212851406</v>
      </c>
      <c r="Q51">
        <f t="shared" si="4"/>
        <v>11.113253012048192</v>
      </c>
      <c r="R51">
        <f t="shared" si="5"/>
        <v>7.3381526104417656</v>
      </c>
      <c r="S51">
        <f t="shared" si="6"/>
        <v>3.5694779116465862</v>
      </c>
      <c r="T51">
        <f t="shared" si="7"/>
        <v>3.5726907630522087</v>
      </c>
      <c r="U51">
        <f t="shared" si="8"/>
        <v>3.5759036144578316</v>
      </c>
      <c r="V51">
        <f t="shared" si="9"/>
        <v>18.024096385542169</v>
      </c>
      <c r="W51">
        <f t="shared" si="10"/>
        <v>99.999999999999986</v>
      </c>
    </row>
    <row r="52" spans="1:23" x14ac:dyDescent="0.3">
      <c r="A52" t="s">
        <v>33</v>
      </c>
      <c r="B52">
        <v>2014</v>
      </c>
      <c r="C52" t="s">
        <v>37</v>
      </c>
      <c r="D52">
        <f>'All_India_Index_Upto_April23 (1'!D52+'All_India_Index_Upto_April23 (1'!G52+'All_India_Index_Upto_April23 (1'!H52+'All_India_Index_Upto_April23 (1'!I52+'All_India_Index_Upto_April23 (1'!J52+'All_India_Index_Upto_April23 (1'!K52+'All_India_Index_Upto_April23 (1'!L52+'All_India_Index_Upto_April23 (1'!M52+'All_India_Index_Upto_April23 (1'!N52+'All_India_Index_Upto_April23 (1'!O52+'All_India_Index_Upto_April23 (1'!P52</f>
        <v>1281</v>
      </c>
      <c r="E52">
        <f>'All_India_Index_Upto_April23 (1'!E52+'All_India_Index_Upto_April23 (1'!F52</f>
        <v>237.5</v>
      </c>
      <c r="F52">
        <v>116.8</v>
      </c>
      <c r="G52">
        <f>'All_India_Index_Upto_April23 (1'!R52+'All_India_Index_Upto_April23 (1'!S52+'All_India_Index_Upto_April23 (1'!T52</f>
        <v>350.79999999999995</v>
      </c>
      <c r="H52">
        <f>'All_India_Index_Upto_April23 (1'!U52+'All_India_Index_Upto_April23 (1'!W52</f>
        <v>228.39999999999998</v>
      </c>
      <c r="I52">
        <v>112.5</v>
      </c>
      <c r="J52">
        <v>111.8</v>
      </c>
      <c r="K52">
        <v>111.3</v>
      </c>
      <c r="L52">
        <f>'All_India_Index_Upto_April23 (1'!Z52+'All_India_Index_Upto_April23 (1'!AA52+'All_India_Index_Upto_April23 (1'!AB52+'All_India_Index_Upto_April23 (1'!AC52+'All_India_Index_Upto_April23 (1'!AD52</f>
        <v>560.9</v>
      </c>
      <c r="M52">
        <f t="shared" si="0"/>
        <v>3111.0000000000005</v>
      </c>
      <c r="N52">
        <f t="shared" si="1"/>
        <v>41.17647058823529</v>
      </c>
      <c r="O52">
        <f t="shared" si="2"/>
        <v>7.6342012214721953</v>
      </c>
      <c r="P52">
        <f t="shared" si="3"/>
        <v>3.7544198007071676</v>
      </c>
      <c r="Q52">
        <f t="shared" si="4"/>
        <v>11.276117004178717</v>
      </c>
      <c r="R52">
        <f t="shared" si="5"/>
        <v>7.3416907746705213</v>
      </c>
      <c r="S52">
        <f t="shared" si="6"/>
        <v>3.6162005785920921</v>
      </c>
      <c r="T52">
        <f t="shared" si="7"/>
        <v>3.593699774991963</v>
      </c>
      <c r="U52">
        <f t="shared" si="8"/>
        <v>3.5776277724204428</v>
      </c>
      <c r="V52">
        <f t="shared" si="9"/>
        <v>18.029572484731592</v>
      </c>
      <c r="W52">
        <f t="shared" si="10"/>
        <v>99.999999999999972</v>
      </c>
    </row>
    <row r="53" spans="1:23" x14ac:dyDescent="0.3">
      <c r="A53" t="s">
        <v>30</v>
      </c>
      <c r="B53">
        <v>2014</v>
      </c>
      <c r="C53" t="s">
        <v>38</v>
      </c>
      <c r="D53">
        <f>'All_India_Index_Upto_April23 (1'!D53+'All_India_Index_Upto_April23 (1'!G53+'All_India_Index_Upto_April23 (1'!H53+'All_India_Index_Upto_April23 (1'!I53+'All_India_Index_Upto_April23 (1'!J53+'All_India_Index_Upto_April23 (1'!K53+'All_India_Index_Upto_April23 (1'!L53+'All_India_Index_Upto_April23 (1'!M53+'All_India_Index_Upto_April23 (1'!N53+'All_India_Index_Upto_April23 (1'!O53+'All_India_Index_Upto_April23 (1'!P53</f>
        <v>1288</v>
      </c>
      <c r="E53">
        <f>'All_India_Index_Upto_April23 (1'!E53+'All_India_Index_Upto_April23 (1'!F53</f>
        <v>237.7</v>
      </c>
      <c r="F53">
        <v>117.3</v>
      </c>
      <c r="G53">
        <f>'All_India_Index_Upto_April23 (1'!R53+'All_India_Index_Upto_April23 (1'!S53+'All_India_Index_Upto_April23 (1'!T53</f>
        <v>356.3</v>
      </c>
      <c r="H53">
        <f>'All_India_Index_Upto_April23 (1'!U53+'All_India_Index_Upto_April23 (1'!W53</f>
        <v>114.9</v>
      </c>
      <c r="I53">
        <v>114.4</v>
      </c>
      <c r="J53">
        <v>112.8</v>
      </c>
      <c r="K53">
        <v>112.2</v>
      </c>
      <c r="L53">
        <f>'All_India_Index_Upto_April23 (1'!Z53+'All_India_Index_Upto_April23 (1'!AA53+'All_India_Index_Upto_April23 (1'!AB53+'All_India_Index_Upto_April23 (1'!AC53+'All_India_Index_Upto_April23 (1'!AD53</f>
        <v>563</v>
      </c>
      <c r="M53">
        <f t="shared" si="0"/>
        <v>3016.6</v>
      </c>
      <c r="N53">
        <f t="shared" si="1"/>
        <v>42.69707617847908</v>
      </c>
      <c r="O53">
        <f t="shared" si="2"/>
        <v>7.8797321487767693</v>
      </c>
      <c r="P53">
        <f t="shared" si="3"/>
        <v>3.8884837233972021</v>
      </c>
      <c r="Q53">
        <f t="shared" si="4"/>
        <v>11.811310747198833</v>
      </c>
      <c r="R53">
        <f t="shared" si="5"/>
        <v>3.8089239541205333</v>
      </c>
      <c r="S53">
        <f t="shared" si="6"/>
        <v>3.7923490021878941</v>
      </c>
      <c r="T53">
        <f t="shared" si="7"/>
        <v>3.7393091560034475</v>
      </c>
      <c r="U53">
        <f t="shared" si="8"/>
        <v>3.7194192136842803</v>
      </c>
      <c r="V53">
        <f t="shared" si="9"/>
        <v>18.663395876151959</v>
      </c>
      <c r="W53">
        <f t="shared" si="10"/>
        <v>99.999999999999972</v>
      </c>
    </row>
    <row r="54" spans="1:23" x14ac:dyDescent="0.3">
      <c r="A54" t="s">
        <v>32</v>
      </c>
      <c r="B54">
        <v>2014</v>
      </c>
      <c r="C54" t="s">
        <v>38</v>
      </c>
      <c r="D54">
        <f>'All_India_Index_Upto_April23 (1'!D54+'All_India_Index_Upto_April23 (1'!G54+'All_India_Index_Upto_April23 (1'!H54+'All_India_Index_Upto_April23 (1'!I54+'All_India_Index_Upto_April23 (1'!J54+'All_India_Index_Upto_April23 (1'!K54+'All_India_Index_Upto_April23 (1'!L54+'All_India_Index_Upto_April23 (1'!M54+'All_India_Index_Upto_April23 (1'!N54+'All_India_Index_Upto_April23 (1'!O54+'All_India_Index_Upto_April23 (1'!P54</f>
        <v>1305.6999999999998</v>
      </c>
      <c r="E54">
        <f>'All_India_Index_Upto_April23 (1'!E54+'All_India_Index_Upto_April23 (1'!F54</f>
        <v>241.3</v>
      </c>
      <c r="F54">
        <v>119</v>
      </c>
      <c r="G54">
        <f>'All_India_Index_Upto_April23 (1'!R54+'All_India_Index_Upto_April23 (1'!S54+'All_India_Index_Upto_April23 (1'!T54</f>
        <v>347.3</v>
      </c>
      <c r="H54">
        <f>'All_India_Index_Upto_April23 (1'!U54+'All_India_Index_Upto_April23 (1'!W54</f>
        <v>228.2</v>
      </c>
      <c r="I54">
        <v>111.2</v>
      </c>
      <c r="J54">
        <v>111.4</v>
      </c>
      <c r="K54">
        <v>111.5</v>
      </c>
      <c r="L54">
        <f>'All_India_Index_Upto_April23 (1'!Z54+'All_India_Index_Upto_April23 (1'!AA54+'All_India_Index_Upto_April23 (1'!AB54+'All_India_Index_Upto_April23 (1'!AC54+'All_India_Index_Upto_April23 (1'!AD54</f>
        <v>564.19999999999993</v>
      </c>
      <c r="M54">
        <f t="shared" si="0"/>
        <v>3139.7999999999993</v>
      </c>
      <c r="N54">
        <f t="shared" si="1"/>
        <v>41.585451302630744</v>
      </c>
      <c r="O54">
        <f t="shared" si="2"/>
        <v>7.6852028791642795</v>
      </c>
      <c r="P54">
        <f t="shared" si="3"/>
        <v>3.7900503216765404</v>
      </c>
      <c r="Q54">
        <f t="shared" si="4"/>
        <v>11.061214090069434</v>
      </c>
      <c r="R54">
        <f t="shared" si="5"/>
        <v>7.2679788521561903</v>
      </c>
      <c r="S54">
        <f t="shared" si="6"/>
        <v>3.5416268552137087</v>
      </c>
      <c r="T54">
        <f t="shared" si="7"/>
        <v>3.5479966876871147</v>
      </c>
      <c r="U54">
        <f t="shared" si="8"/>
        <v>3.5511816039238178</v>
      </c>
      <c r="V54">
        <f t="shared" si="9"/>
        <v>17.969297407478184</v>
      </c>
      <c r="W54">
        <f t="shared" si="10"/>
        <v>100.00000000000001</v>
      </c>
    </row>
    <row r="55" spans="1:23" x14ac:dyDescent="0.3">
      <c r="A55" t="s">
        <v>33</v>
      </c>
      <c r="B55">
        <v>2014</v>
      </c>
      <c r="C55" t="s">
        <v>38</v>
      </c>
      <c r="D55">
        <f>'All_India_Index_Upto_April23 (1'!D55+'All_India_Index_Upto_April23 (1'!G55+'All_India_Index_Upto_April23 (1'!H55+'All_India_Index_Upto_April23 (1'!I55+'All_India_Index_Upto_April23 (1'!J55+'All_India_Index_Upto_April23 (1'!K55+'All_India_Index_Upto_April23 (1'!L55+'All_India_Index_Upto_April23 (1'!M55+'All_India_Index_Upto_April23 (1'!N55+'All_India_Index_Upto_April23 (1'!O55+'All_India_Index_Upto_April23 (1'!P55</f>
        <v>1294.8</v>
      </c>
      <c r="E55">
        <f>'All_India_Index_Upto_April23 (1'!E55+'All_India_Index_Upto_April23 (1'!F55</f>
        <v>238.89999999999998</v>
      </c>
      <c r="F55">
        <v>117.8</v>
      </c>
      <c r="G55">
        <f>'All_India_Index_Upto_April23 (1'!R55+'All_India_Index_Upto_April23 (1'!S55+'All_India_Index_Upto_April23 (1'!T55</f>
        <v>352.7</v>
      </c>
      <c r="H55">
        <f>'All_India_Index_Upto_April23 (1'!U55+'All_India_Index_Upto_April23 (1'!W55</f>
        <v>228.5</v>
      </c>
      <c r="I55">
        <v>113.2</v>
      </c>
      <c r="J55">
        <v>112.3</v>
      </c>
      <c r="K55">
        <v>111.8</v>
      </c>
      <c r="L55">
        <f>'All_India_Index_Upto_April23 (1'!Z55+'All_India_Index_Upto_April23 (1'!AA55+'All_India_Index_Upto_April23 (1'!AB55+'All_India_Index_Upto_April23 (1'!AC55+'All_India_Index_Upto_April23 (1'!AD55</f>
        <v>563.70000000000005</v>
      </c>
      <c r="M55">
        <f t="shared" si="0"/>
        <v>3133.7</v>
      </c>
      <c r="N55">
        <f t="shared" si="1"/>
        <v>41.318569103615538</v>
      </c>
      <c r="O55">
        <f t="shared" si="2"/>
        <v>7.6235759645147905</v>
      </c>
      <c r="P55">
        <f t="shared" si="3"/>
        <v>3.7591345693589053</v>
      </c>
      <c r="Q55">
        <f t="shared" si="4"/>
        <v>11.255065896544021</v>
      </c>
      <c r="R55">
        <f t="shared" si="5"/>
        <v>7.2916999074576383</v>
      </c>
      <c r="S55">
        <f t="shared" si="6"/>
        <v>3.6123432364297798</v>
      </c>
      <c r="T55">
        <f t="shared" si="7"/>
        <v>3.5836231930306028</v>
      </c>
      <c r="U55">
        <f t="shared" si="8"/>
        <v>3.5676676133643932</v>
      </c>
      <c r="V55">
        <f t="shared" si="9"/>
        <v>17.988320515684336</v>
      </c>
      <c r="W55">
        <f t="shared" si="10"/>
        <v>100.00000000000001</v>
      </c>
    </row>
    <row r="56" spans="1:23" x14ac:dyDescent="0.3">
      <c r="A56" t="s">
        <v>30</v>
      </c>
      <c r="B56">
        <v>2014</v>
      </c>
      <c r="C56" t="s">
        <v>39</v>
      </c>
      <c r="D56">
        <f>'All_India_Index_Upto_April23 (1'!D56+'All_India_Index_Upto_April23 (1'!G56+'All_India_Index_Upto_April23 (1'!H56+'All_India_Index_Upto_April23 (1'!I56+'All_India_Index_Upto_April23 (1'!J56+'All_India_Index_Upto_April23 (1'!K56+'All_India_Index_Upto_April23 (1'!L56+'All_India_Index_Upto_April23 (1'!M56+'All_India_Index_Upto_April23 (1'!N56+'All_India_Index_Upto_April23 (1'!O56+'All_India_Index_Upto_April23 (1'!P56</f>
        <v>1323</v>
      </c>
      <c r="E56">
        <f>'All_India_Index_Upto_April23 (1'!E56+'All_India_Index_Upto_April23 (1'!F56</f>
        <v>240.2</v>
      </c>
      <c r="F56">
        <v>118</v>
      </c>
      <c r="G56">
        <f>'All_India_Index_Upto_April23 (1'!R56+'All_India_Index_Upto_April23 (1'!S56+'All_India_Index_Upto_April23 (1'!T56</f>
        <v>359.3</v>
      </c>
      <c r="H56">
        <f>'All_India_Index_Upto_April23 (1'!U56+'All_India_Index_Upto_April23 (1'!W56</f>
        <v>115.4</v>
      </c>
      <c r="I56">
        <v>115.3</v>
      </c>
      <c r="J56">
        <v>113.4</v>
      </c>
      <c r="K56">
        <v>113.2</v>
      </c>
      <c r="L56">
        <f>'All_India_Index_Upto_April23 (1'!Z56+'All_India_Index_Upto_April23 (1'!AA56+'All_India_Index_Upto_April23 (1'!AB56+'All_India_Index_Upto_April23 (1'!AC56+'All_India_Index_Upto_April23 (1'!AD56</f>
        <v>568.70000000000005</v>
      </c>
      <c r="M56">
        <f t="shared" si="0"/>
        <v>3066.5</v>
      </c>
      <c r="N56">
        <f t="shared" si="1"/>
        <v>43.143649111364745</v>
      </c>
      <c r="O56">
        <f t="shared" si="2"/>
        <v>7.8330344040436986</v>
      </c>
      <c r="P56">
        <f t="shared" si="3"/>
        <v>3.8480352193053973</v>
      </c>
      <c r="Q56">
        <f t="shared" si="4"/>
        <v>11.716941138105332</v>
      </c>
      <c r="R56">
        <f t="shared" si="5"/>
        <v>3.7632480026088375</v>
      </c>
      <c r="S56">
        <f t="shared" si="6"/>
        <v>3.7599869558128156</v>
      </c>
      <c r="T56">
        <f t="shared" si="7"/>
        <v>3.698027066688407</v>
      </c>
      <c r="U56">
        <f t="shared" si="8"/>
        <v>3.6915049730963641</v>
      </c>
      <c r="V56">
        <f t="shared" si="9"/>
        <v>18.545573128974404</v>
      </c>
      <c r="W56">
        <f t="shared" si="10"/>
        <v>100</v>
      </c>
    </row>
    <row r="57" spans="1:23" x14ac:dyDescent="0.3">
      <c r="A57" t="s">
        <v>32</v>
      </c>
      <c r="B57">
        <v>2014</v>
      </c>
      <c r="C57" t="s">
        <v>39</v>
      </c>
      <c r="D57">
        <f>'All_India_Index_Upto_April23 (1'!D57+'All_India_Index_Upto_April23 (1'!G57+'All_India_Index_Upto_April23 (1'!H57+'All_India_Index_Upto_April23 (1'!I57+'All_India_Index_Upto_April23 (1'!J57+'All_India_Index_Upto_April23 (1'!K57+'All_India_Index_Upto_April23 (1'!L57+'All_India_Index_Upto_April23 (1'!M57+'All_India_Index_Upto_April23 (1'!N57+'All_India_Index_Upto_April23 (1'!O57+'All_India_Index_Upto_April23 (1'!P57</f>
        <v>1355.1000000000001</v>
      </c>
      <c r="E57">
        <f>'All_India_Index_Upto_April23 (1'!E57+'All_India_Index_Upto_April23 (1'!F57</f>
        <v>244.4</v>
      </c>
      <c r="F57">
        <v>121</v>
      </c>
      <c r="G57">
        <f>'All_India_Index_Upto_April23 (1'!R57+'All_India_Index_Upto_April23 (1'!S57+'All_India_Index_Upto_April23 (1'!T57</f>
        <v>349</v>
      </c>
      <c r="H57">
        <f>'All_India_Index_Upto_April23 (1'!U57+'All_India_Index_Upto_April23 (1'!W57</f>
        <v>229.7</v>
      </c>
      <c r="I57">
        <v>111.6</v>
      </c>
      <c r="J57">
        <v>111.5</v>
      </c>
      <c r="K57">
        <v>113</v>
      </c>
      <c r="L57">
        <f>'All_India_Index_Upto_April23 (1'!Z57+'All_India_Index_Upto_April23 (1'!AA57+'All_India_Index_Upto_April23 (1'!AB57+'All_India_Index_Upto_April23 (1'!AC57+'All_India_Index_Upto_April23 (1'!AD57</f>
        <v>572.29999999999995</v>
      </c>
      <c r="M57">
        <f t="shared" si="0"/>
        <v>3207.5999999999995</v>
      </c>
      <c r="N57">
        <f t="shared" si="1"/>
        <v>42.246539468761704</v>
      </c>
      <c r="O57">
        <f t="shared" si="2"/>
        <v>7.6194039157002136</v>
      </c>
      <c r="P57">
        <f t="shared" si="3"/>
        <v>3.7722908093278469</v>
      </c>
      <c r="Q57">
        <f t="shared" si="4"/>
        <v>10.880409028557178</v>
      </c>
      <c r="R57">
        <f t="shared" si="5"/>
        <v>7.1611173463025324</v>
      </c>
      <c r="S57">
        <f t="shared" si="6"/>
        <v>3.4792368125701461</v>
      </c>
      <c r="T57">
        <f t="shared" si="7"/>
        <v>3.4761192168599582</v>
      </c>
      <c r="U57">
        <f t="shared" si="8"/>
        <v>3.5228831525127826</v>
      </c>
      <c r="V57">
        <f t="shared" si="9"/>
        <v>17.842000249407658</v>
      </c>
      <c r="W57">
        <f t="shared" si="10"/>
        <v>100.00000000000001</v>
      </c>
    </row>
    <row r="58" spans="1:23" x14ac:dyDescent="0.3">
      <c r="A58" t="s">
        <v>33</v>
      </c>
      <c r="B58">
        <v>2014</v>
      </c>
      <c r="C58" t="s">
        <v>39</v>
      </c>
      <c r="D58">
        <f>'All_India_Index_Upto_April23 (1'!D58+'All_India_Index_Upto_April23 (1'!G58+'All_India_Index_Upto_April23 (1'!H58+'All_India_Index_Upto_April23 (1'!I58+'All_India_Index_Upto_April23 (1'!J58+'All_India_Index_Upto_April23 (1'!K58+'All_India_Index_Upto_April23 (1'!L58+'All_India_Index_Upto_April23 (1'!M58+'All_India_Index_Upto_April23 (1'!N58+'All_India_Index_Upto_April23 (1'!O58+'All_India_Index_Upto_April23 (1'!P58</f>
        <v>1334.6000000000001</v>
      </c>
      <c r="E58">
        <f>'All_India_Index_Upto_April23 (1'!E58+'All_India_Index_Upto_April23 (1'!F58</f>
        <v>241.7</v>
      </c>
      <c r="F58">
        <v>118.8</v>
      </c>
      <c r="G58">
        <f>'All_India_Index_Upto_April23 (1'!R58+'All_India_Index_Upto_April23 (1'!S58+'All_India_Index_Upto_April23 (1'!T58</f>
        <v>355</v>
      </c>
      <c r="H58">
        <f>'All_India_Index_Upto_April23 (1'!U58+'All_India_Index_Upto_April23 (1'!W58</f>
        <v>230</v>
      </c>
      <c r="I58">
        <v>113.9</v>
      </c>
      <c r="J58">
        <v>112.7</v>
      </c>
      <c r="K58">
        <v>113.1</v>
      </c>
      <c r="L58">
        <f>'All_India_Index_Upto_April23 (1'!Z58+'All_India_Index_Upto_April23 (1'!AA58+'All_India_Index_Upto_April23 (1'!AB58+'All_India_Index_Upto_April23 (1'!AC58+'All_India_Index_Upto_April23 (1'!AD58</f>
        <v>570.6</v>
      </c>
      <c r="M58">
        <f t="shared" si="0"/>
        <v>3190.4</v>
      </c>
      <c r="N58">
        <f t="shared" si="1"/>
        <v>41.831745235707125</v>
      </c>
      <c r="O58">
        <f t="shared" si="2"/>
        <v>7.5758525576730182</v>
      </c>
      <c r="P58">
        <f t="shared" si="3"/>
        <v>3.7236710130391169</v>
      </c>
      <c r="Q58">
        <f t="shared" si="4"/>
        <v>11.127131394182548</v>
      </c>
      <c r="R58">
        <f t="shared" si="5"/>
        <v>7.2091273821464394</v>
      </c>
      <c r="S58">
        <f t="shared" si="6"/>
        <v>3.5700852557673017</v>
      </c>
      <c r="T58">
        <f t="shared" si="7"/>
        <v>3.5324724172517552</v>
      </c>
      <c r="U58">
        <f t="shared" si="8"/>
        <v>3.5450100300902703</v>
      </c>
      <c r="V58">
        <f t="shared" si="9"/>
        <v>17.884904714142426</v>
      </c>
      <c r="W58">
        <f t="shared" si="10"/>
        <v>99.999999999999986</v>
      </c>
    </row>
    <row r="59" spans="1:23" x14ac:dyDescent="0.3">
      <c r="A59" t="s">
        <v>30</v>
      </c>
      <c r="B59">
        <v>2014</v>
      </c>
      <c r="C59" t="s">
        <v>40</v>
      </c>
      <c r="D59">
        <f>'All_India_Index_Upto_April23 (1'!D59+'All_India_Index_Upto_April23 (1'!G59+'All_India_Index_Upto_April23 (1'!H59+'All_India_Index_Upto_April23 (1'!I59+'All_India_Index_Upto_April23 (1'!J59+'All_India_Index_Upto_April23 (1'!K59+'All_India_Index_Upto_April23 (1'!L59+'All_India_Index_Upto_April23 (1'!M59+'All_India_Index_Upto_April23 (1'!N59+'All_India_Index_Upto_April23 (1'!O59+'All_India_Index_Upto_April23 (1'!P59</f>
        <v>1341.7</v>
      </c>
      <c r="E59">
        <f>'All_India_Index_Upto_April23 (1'!E59+'All_India_Index_Upto_April23 (1'!F59</f>
        <v>240.6</v>
      </c>
      <c r="F59">
        <v>118.8</v>
      </c>
      <c r="G59">
        <f>'All_India_Index_Upto_April23 (1'!R59+'All_India_Index_Upto_April23 (1'!S59+'All_India_Index_Upto_April23 (1'!T59</f>
        <v>360.4</v>
      </c>
      <c r="H59">
        <f>'All_India_Index_Upto_April23 (1'!U59+'All_India_Index_Upto_April23 (1'!W59</f>
        <v>115.9</v>
      </c>
      <c r="I59">
        <v>115.4</v>
      </c>
      <c r="J59">
        <v>114</v>
      </c>
      <c r="K59">
        <v>113.2</v>
      </c>
      <c r="L59">
        <f>'All_India_Index_Upto_April23 (1'!Z59+'All_India_Index_Upto_April23 (1'!AA59+'All_India_Index_Upto_April23 (1'!AB59+'All_India_Index_Upto_April23 (1'!AC59+'All_India_Index_Upto_April23 (1'!AD59</f>
        <v>572</v>
      </c>
      <c r="M59">
        <f t="shared" si="0"/>
        <v>3092</v>
      </c>
      <c r="N59">
        <f t="shared" si="1"/>
        <v>43.392626131953435</v>
      </c>
      <c r="O59">
        <f t="shared" si="2"/>
        <v>7.7813712807244499</v>
      </c>
      <c r="P59">
        <f t="shared" si="3"/>
        <v>3.8421733505821476</v>
      </c>
      <c r="Q59">
        <f t="shared" si="4"/>
        <v>11.655886157826648</v>
      </c>
      <c r="R59">
        <f t="shared" si="5"/>
        <v>3.7483829236739976</v>
      </c>
      <c r="S59">
        <f t="shared" si="6"/>
        <v>3.7322121604139715</v>
      </c>
      <c r="T59">
        <f t="shared" si="7"/>
        <v>3.6869340232858989</v>
      </c>
      <c r="U59">
        <f t="shared" si="8"/>
        <v>3.6610608020698576</v>
      </c>
      <c r="V59">
        <f t="shared" si="9"/>
        <v>18.499353169469597</v>
      </c>
      <c r="W59">
        <f t="shared" si="10"/>
        <v>100</v>
      </c>
    </row>
    <row r="60" spans="1:23" x14ac:dyDescent="0.3">
      <c r="A60" t="s">
        <v>32</v>
      </c>
      <c r="B60">
        <v>2014</v>
      </c>
      <c r="C60" t="s">
        <v>40</v>
      </c>
      <c r="D60">
        <f>'All_India_Index_Upto_April23 (1'!D60+'All_India_Index_Upto_April23 (1'!G60+'All_India_Index_Upto_April23 (1'!H60+'All_India_Index_Upto_April23 (1'!I60+'All_India_Index_Upto_April23 (1'!J60+'All_India_Index_Upto_April23 (1'!K60+'All_India_Index_Upto_April23 (1'!L60+'All_India_Index_Upto_April23 (1'!M60+'All_India_Index_Upto_April23 (1'!N60+'All_India_Index_Upto_April23 (1'!O60+'All_India_Index_Upto_April23 (1'!P60</f>
        <v>1373.2000000000003</v>
      </c>
      <c r="E60">
        <f>'All_India_Index_Upto_April23 (1'!E60+'All_India_Index_Upto_April23 (1'!F60</f>
        <v>243.8</v>
      </c>
      <c r="F60">
        <v>123</v>
      </c>
      <c r="G60">
        <f>'All_India_Index_Upto_April23 (1'!R60+'All_India_Index_Upto_April23 (1'!S60+'All_India_Index_Upto_April23 (1'!T60</f>
        <v>350.6</v>
      </c>
      <c r="H60">
        <f>'All_India_Index_Upto_April23 (1'!U60+'All_India_Index_Upto_April23 (1'!W60</f>
        <v>230.8</v>
      </c>
      <c r="I60">
        <v>111.8</v>
      </c>
      <c r="J60">
        <v>112.2</v>
      </c>
      <c r="K60">
        <v>112.5</v>
      </c>
      <c r="L60">
        <f>'All_India_Index_Upto_April23 (1'!Z60+'All_India_Index_Upto_April23 (1'!AA60+'All_India_Index_Upto_April23 (1'!AB60+'All_India_Index_Upto_April23 (1'!AC60+'All_India_Index_Upto_April23 (1'!AD60</f>
        <v>576.4</v>
      </c>
      <c r="M60">
        <f t="shared" si="0"/>
        <v>3234.3000000000006</v>
      </c>
      <c r="N60">
        <f t="shared" si="1"/>
        <v>42.457409640416785</v>
      </c>
      <c r="O60">
        <f t="shared" si="2"/>
        <v>7.5379525708808695</v>
      </c>
      <c r="P60">
        <f t="shared" si="3"/>
        <v>3.8029867359243101</v>
      </c>
      <c r="Q60">
        <f t="shared" si="4"/>
        <v>10.840058126951735</v>
      </c>
      <c r="R60">
        <f t="shared" si="5"/>
        <v>7.136010883344154</v>
      </c>
      <c r="S60">
        <f t="shared" si="6"/>
        <v>3.4566985128157555</v>
      </c>
      <c r="T60">
        <f t="shared" si="7"/>
        <v>3.4690659493553468</v>
      </c>
      <c r="U60">
        <f t="shared" si="8"/>
        <v>3.4783415267600399</v>
      </c>
      <c r="V60">
        <f t="shared" si="9"/>
        <v>17.821476053550995</v>
      </c>
      <c r="W60">
        <f t="shared" si="10"/>
        <v>99.999999999999986</v>
      </c>
    </row>
    <row r="61" spans="1:23" x14ac:dyDescent="0.3">
      <c r="A61" t="s">
        <v>33</v>
      </c>
      <c r="B61">
        <v>2014</v>
      </c>
      <c r="C61" t="s">
        <v>40</v>
      </c>
      <c r="D61">
        <f>'All_India_Index_Upto_April23 (1'!D61+'All_India_Index_Upto_April23 (1'!G61+'All_India_Index_Upto_April23 (1'!H61+'All_India_Index_Upto_April23 (1'!I61+'All_India_Index_Upto_April23 (1'!J61+'All_India_Index_Upto_April23 (1'!K61+'All_India_Index_Upto_April23 (1'!L61+'All_India_Index_Upto_April23 (1'!M61+'All_India_Index_Upto_April23 (1'!N61+'All_India_Index_Upto_April23 (1'!O61+'All_India_Index_Upto_April23 (1'!P61</f>
        <v>1352.7999999999997</v>
      </c>
      <c r="E61">
        <f>'All_India_Index_Upto_April23 (1'!E61+'All_India_Index_Upto_April23 (1'!F61</f>
        <v>241.7</v>
      </c>
      <c r="F61">
        <v>119.9</v>
      </c>
      <c r="G61">
        <f>'All_India_Index_Upto_April23 (1'!R61+'All_India_Index_Upto_April23 (1'!S61+'All_India_Index_Upto_April23 (1'!T61</f>
        <v>356.4</v>
      </c>
      <c r="H61">
        <f>'All_India_Index_Upto_April23 (1'!U61+'All_India_Index_Upto_April23 (1'!W61</f>
        <v>231.1</v>
      </c>
      <c r="I61">
        <v>114</v>
      </c>
      <c r="J61">
        <v>113.3</v>
      </c>
      <c r="K61">
        <v>112.8</v>
      </c>
      <c r="L61">
        <f>'All_India_Index_Upto_April23 (1'!Z61+'All_India_Index_Upto_April23 (1'!AA61+'All_India_Index_Upto_April23 (1'!AB61+'All_India_Index_Upto_April23 (1'!AC61+'All_India_Index_Upto_April23 (1'!AD61</f>
        <v>574.5</v>
      </c>
      <c r="M61">
        <f t="shared" si="0"/>
        <v>3216.5</v>
      </c>
      <c r="N61">
        <f t="shared" si="1"/>
        <v>42.058137727343379</v>
      </c>
      <c r="O61">
        <f t="shared" si="2"/>
        <v>7.5143789833670134</v>
      </c>
      <c r="P61">
        <f t="shared" si="3"/>
        <v>3.7276542826053167</v>
      </c>
      <c r="Q61">
        <f t="shared" si="4"/>
        <v>11.080366858386444</v>
      </c>
      <c r="R61">
        <f t="shared" si="5"/>
        <v>7.1848282294419406</v>
      </c>
      <c r="S61">
        <f t="shared" si="6"/>
        <v>3.5442250893828695</v>
      </c>
      <c r="T61">
        <f t="shared" si="7"/>
        <v>3.5224623037463076</v>
      </c>
      <c r="U61">
        <f t="shared" si="8"/>
        <v>3.5069174568630497</v>
      </c>
      <c r="V61">
        <f t="shared" si="9"/>
        <v>17.861029068863672</v>
      </c>
      <c r="W61">
        <f t="shared" si="10"/>
        <v>99.999999999999972</v>
      </c>
    </row>
    <row r="62" spans="1:23" x14ac:dyDescent="0.3">
      <c r="A62" t="s">
        <v>30</v>
      </c>
      <c r="B62">
        <v>2014</v>
      </c>
      <c r="C62" t="s">
        <v>41</v>
      </c>
      <c r="D62">
        <f>'All_India_Index_Upto_April23 (1'!D62+'All_India_Index_Upto_April23 (1'!G62+'All_India_Index_Upto_April23 (1'!H62+'All_India_Index_Upto_April23 (1'!I62+'All_India_Index_Upto_April23 (1'!J62+'All_India_Index_Upto_April23 (1'!K62+'All_India_Index_Upto_April23 (1'!L62+'All_India_Index_Upto_April23 (1'!M62+'All_India_Index_Upto_April23 (1'!N62+'All_India_Index_Upto_April23 (1'!O62+'All_India_Index_Upto_April23 (1'!P62</f>
        <v>1342.9999999999998</v>
      </c>
      <c r="E62">
        <f>'All_India_Index_Upto_April23 (1'!E62+'All_India_Index_Upto_April23 (1'!F62</f>
        <v>240.2</v>
      </c>
      <c r="F62">
        <v>119.5</v>
      </c>
      <c r="G62">
        <f>'All_India_Index_Upto_April23 (1'!R62+'All_India_Index_Upto_April23 (1'!S62+'All_India_Index_Upto_April23 (1'!T62</f>
        <v>362.2</v>
      </c>
      <c r="H62">
        <f>'All_India_Index_Upto_April23 (1'!U62+'All_India_Index_Upto_April23 (1'!W62</f>
        <v>116.7</v>
      </c>
      <c r="I62">
        <v>115.8</v>
      </c>
      <c r="J62">
        <v>114.5</v>
      </c>
      <c r="K62">
        <v>112.8</v>
      </c>
      <c r="L62">
        <f>'All_India_Index_Upto_April23 (1'!Z62+'All_India_Index_Upto_April23 (1'!AA62+'All_India_Index_Upto_April23 (1'!AB62+'All_India_Index_Upto_April23 (1'!AC62+'All_India_Index_Upto_April23 (1'!AD62</f>
        <v>572.9</v>
      </c>
      <c r="M62">
        <f t="shared" si="0"/>
        <v>3097.6</v>
      </c>
      <c r="N62">
        <f t="shared" si="1"/>
        <v>43.356146694214871</v>
      </c>
      <c r="O62">
        <f t="shared" si="2"/>
        <v>7.754390495867769</v>
      </c>
      <c r="P62">
        <f t="shared" si="3"/>
        <v>3.8578254132231407</v>
      </c>
      <c r="Q62">
        <f t="shared" si="4"/>
        <v>11.692923553719007</v>
      </c>
      <c r="R62">
        <f t="shared" si="5"/>
        <v>3.7674328512396693</v>
      </c>
      <c r="S62">
        <f t="shared" si="6"/>
        <v>3.7383780991735538</v>
      </c>
      <c r="T62">
        <f t="shared" si="7"/>
        <v>3.6964101239669422</v>
      </c>
      <c r="U62">
        <f t="shared" si="8"/>
        <v>3.6415289256198351</v>
      </c>
      <c r="V62">
        <f t="shared" si="9"/>
        <v>18.494963842975206</v>
      </c>
      <c r="W62">
        <f t="shared" si="10"/>
        <v>100.00000000000001</v>
      </c>
    </row>
    <row r="63" spans="1:23" x14ac:dyDescent="0.3">
      <c r="A63" t="s">
        <v>32</v>
      </c>
      <c r="B63">
        <v>2014</v>
      </c>
      <c r="C63" t="s">
        <v>41</v>
      </c>
      <c r="D63">
        <f>'All_India_Index_Upto_April23 (1'!D63+'All_India_Index_Upto_April23 (1'!G63+'All_India_Index_Upto_April23 (1'!H63+'All_India_Index_Upto_April23 (1'!I63+'All_India_Index_Upto_April23 (1'!J63+'All_India_Index_Upto_April23 (1'!K63+'All_India_Index_Upto_April23 (1'!L63+'All_India_Index_Upto_April23 (1'!M63+'All_India_Index_Upto_April23 (1'!N63+'All_India_Index_Upto_April23 (1'!O63+'All_India_Index_Upto_April23 (1'!P63</f>
        <v>1351.9</v>
      </c>
      <c r="E63">
        <f>'All_India_Index_Upto_April23 (1'!E63+'All_India_Index_Upto_April23 (1'!F63</f>
        <v>241.8</v>
      </c>
      <c r="F63">
        <v>124.3</v>
      </c>
      <c r="G63">
        <f>'All_India_Index_Upto_April23 (1'!R63+'All_India_Index_Upto_April23 (1'!S63+'All_India_Index_Upto_April23 (1'!T63</f>
        <v>352.1</v>
      </c>
      <c r="H63">
        <f>'All_India_Index_Upto_April23 (1'!U63+'All_India_Index_Upto_April23 (1'!W63</f>
        <v>231.6</v>
      </c>
      <c r="I63">
        <v>111.8</v>
      </c>
      <c r="J63">
        <v>112.3</v>
      </c>
      <c r="K63">
        <v>111.2</v>
      </c>
      <c r="L63">
        <f>'All_India_Index_Upto_April23 (1'!Z63+'All_India_Index_Upto_April23 (1'!AA63+'All_India_Index_Upto_April23 (1'!AB63+'All_India_Index_Upto_April23 (1'!AC63+'All_India_Index_Upto_April23 (1'!AD63</f>
        <v>576.20000000000005</v>
      </c>
      <c r="M63">
        <f t="shared" si="0"/>
        <v>3213.2</v>
      </c>
      <c r="N63">
        <f t="shared" si="1"/>
        <v>42.073322544503924</v>
      </c>
      <c r="O63">
        <f t="shared" si="2"/>
        <v>7.5252085148761356</v>
      </c>
      <c r="P63">
        <f t="shared" si="3"/>
        <v>3.8684177766712313</v>
      </c>
      <c r="Q63">
        <f t="shared" si="4"/>
        <v>10.957923565293166</v>
      </c>
      <c r="R63">
        <f t="shared" si="5"/>
        <v>7.207767957176646</v>
      </c>
      <c r="S63">
        <f t="shared" si="6"/>
        <v>3.4793974853728371</v>
      </c>
      <c r="T63">
        <f t="shared" si="7"/>
        <v>3.4949582970247728</v>
      </c>
      <c r="U63">
        <f t="shared" si="8"/>
        <v>3.4607245113905143</v>
      </c>
      <c r="V63">
        <f t="shared" si="9"/>
        <v>17.932279347690777</v>
      </c>
      <c r="W63">
        <f t="shared" si="10"/>
        <v>100</v>
      </c>
    </row>
    <row r="64" spans="1:23" x14ac:dyDescent="0.3">
      <c r="A64" t="s">
        <v>33</v>
      </c>
      <c r="B64">
        <v>2014</v>
      </c>
      <c r="C64" t="s">
        <v>41</v>
      </c>
      <c r="D64">
        <f>'All_India_Index_Upto_April23 (1'!D64+'All_India_Index_Upto_April23 (1'!G64+'All_India_Index_Upto_April23 (1'!H64+'All_India_Index_Upto_April23 (1'!I64+'All_India_Index_Upto_April23 (1'!J64+'All_India_Index_Upto_April23 (1'!K64+'All_India_Index_Upto_April23 (1'!L64+'All_India_Index_Upto_April23 (1'!M64+'All_India_Index_Upto_April23 (1'!N64+'All_India_Index_Upto_April23 (1'!O64+'All_India_Index_Upto_April23 (1'!P64</f>
        <v>1345.3</v>
      </c>
      <c r="E64">
        <f>'All_India_Index_Upto_April23 (1'!E64+'All_India_Index_Upto_April23 (1'!F64</f>
        <v>240.8</v>
      </c>
      <c r="F64">
        <v>120.8</v>
      </c>
      <c r="G64">
        <f>'All_India_Index_Upto_April23 (1'!R64+'All_India_Index_Upto_April23 (1'!S64+'All_India_Index_Upto_April23 (1'!T64</f>
        <v>358</v>
      </c>
      <c r="H64">
        <f>'All_India_Index_Upto_April23 (1'!U64+'All_India_Index_Upto_April23 (1'!W64</f>
        <v>232.2</v>
      </c>
      <c r="I64">
        <v>114.3</v>
      </c>
      <c r="J64">
        <v>113.7</v>
      </c>
      <c r="K64">
        <v>112</v>
      </c>
      <c r="L64">
        <f>'All_India_Index_Upto_April23 (1'!Z64+'All_India_Index_Upto_April23 (1'!AA64+'All_India_Index_Upto_April23 (1'!AB64+'All_India_Index_Upto_April23 (1'!AC64+'All_India_Index_Upto_April23 (1'!AD64</f>
        <v>575</v>
      </c>
      <c r="M64">
        <f t="shared" si="0"/>
        <v>3212.0999999999995</v>
      </c>
      <c r="N64">
        <f t="shared" si="1"/>
        <v>41.882257713022639</v>
      </c>
      <c r="O64">
        <f t="shared" si="2"/>
        <v>7.4966532797858116</v>
      </c>
      <c r="P64">
        <f t="shared" si="3"/>
        <v>3.7607795523177985</v>
      </c>
      <c r="Q64">
        <f t="shared" si="4"/>
        <v>11.14535662027957</v>
      </c>
      <c r="R64">
        <f t="shared" si="5"/>
        <v>7.2289156626506035</v>
      </c>
      <c r="S64">
        <f t="shared" si="6"/>
        <v>3.5584197254132817</v>
      </c>
      <c r="T64">
        <f t="shared" si="7"/>
        <v>3.5397403567759418</v>
      </c>
      <c r="U64">
        <f t="shared" si="8"/>
        <v>3.4868154789701449</v>
      </c>
      <c r="V64">
        <f t="shared" si="9"/>
        <v>17.901061610784225</v>
      </c>
      <c r="W64">
        <f t="shared" si="10"/>
        <v>100.00000000000001</v>
      </c>
    </row>
    <row r="65" spans="1:23" x14ac:dyDescent="0.3">
      <c r="A65" t="s">
        <v>30</v>
      </c>
      <c r="B65">
        <v>2014</v>
      </c>
      <c r="C65" t="s">
        <v>42</v>
      </c>
      <c r="D65">
        <f>'All_India_Index_Upto_April23 (1'!D65+'All_India_Index_Upto_April23 (1'!G65+'All_India_Index_Upto_April23 (1'!H65+'All_India_Index_Upto_April23 (1'!I65+'All_India_Index_Upto_April23 (1'!J65+'All_India_Index_Upto_April23 (1'!K65+'All_India_Index_Upto_April23 (1'!L65+'All_India_Index_Upto_April23 (1'!M65+'All_India_Index_Upto_April23 (1'!N65+'All_India_Index_Upto_April23 (1'!O65+'All_India_Index_Upto_April23 (1'!P65</f>
        <v>1340.3999999999999</v>
      </c>
      <c r="E65">
        <f>'All_India_Index_Upto_April23 (1'!E65+'All_India_Index_Upto_April23 (1'!F65</f>
        <v>240.8</v>
      </c>
      <c r="F65">
        <v>120</v>
      </c>
      <c r="G65">
        <f>'All_India_Index_Upto_April23 (1'!R65+'All_India_Index_Upto_April23 (1'!S65+'All_India_Index_Upto_April23 (1'!T65</f>
        <v>365.3</v>
      </c>
      <c r="H65">
        <f>'All_India_Index_Upto_April23 (1'!U65+'All_India_Index_Upto_April23 (1'!W65</f>
        <v>117.5</v>
      </c>
      <c r="I65">
        <v>116.4</v>
      </c>
      <c r="J65">
        <v>115.3</v>
      </c>
      <c r="K65">
        <v>112.6</v>
      </c>
      <c r="L65">
        <f>'All_India_Index_Upto_April23 (1'!Z65+'All_India_Index_Upto_April23 (1'!AA65+'All_India_Index_Upto_April23 (1'!AB65+'All_India_Index_Upto_April23 (1'!AC65+'All_India_Index_Upto_April23 (1'!AD65</f>
        <v>574.20000000000005</v>
      </c>
      <c r="M65">
        <f t="shared" si="0"/>
        <v>3102.5</v>
      </c>
      <c r="N65">
        <f t="shared" si="1"/>
        <v>43.203867848509262</v>
      </c>
      <c r="O65">
        <f t="shared" si="2"/>
        <v>7.7614826752618855</v>
      </c>
      <c r="P65">
        <f t="shared" si="3"/>
        <v>3.8678485092667207</v>
      </c>
      <c r="Q65">
        <f t="shared" si="4"/>
        <v>11.774375503626109</v>
      </c>
      <c r="R65">
        <f t="shared" si="5"/>
        <v>3.7872683319903304</v>
      </c>
      <c r="S65">
        <f t="shared" si="6"/>
        <v>3.7518130539887187</v>
      </c>
      <c r="T65">
        <f t="shared" si="7"/>
        <v>3.7163577759871074</v>
      </c>
      <c r="U65">
        <f t="shared" si="8"/>
        <v>3.6293311845286058</v>
      </c>
      <c r="V65">
        <f t="shared" si="9"/>
        <v>18.50765511684126</v>
      </c>
      <c r="W65">
        <f t="shared" si="10"/>
        <v>100</v>
      </c>
    </row>
    <row r="66" spans="1:23" x14ac:dyDescent="0.3">
      <c r="A66" t="s">
        <v>32</v>
      </c>
      <c r="B66">
        <v>2014</v>
      </c>
      <c r="C66" t="s">
        <v>42</v>
      </c>
      <c r="D66">
        <f>'All_India_Index_Upto_April23 (1'!D66+'All_India_Index_Upto_April23 (1'!G66+'All_India_Index_Upto_April23 (1'!H66+'All_India_Index_Upto_April23 (1'!I66+'All_India_Index_Upto_April23 (1'!J66+'All_India_Index_Upto_April23 (1'!K66+'All_India_Index_Upto_April23 (1'!L66+'All_India_Index_Upto_April23 (1'!M66+'All_India_Index_Upto_April23 (1'!N66+'All_India_Index_Upto_April23 (1'!O66+'All_India_Index_Upto_April23 (1'!P66</f>
        <v>1343.6</v>
      </c>
      <c r="E66">
        <f>'All_India_Index_Upto_April23 (1'!E66+'All_India_Index_Upto_April23 (1'!F66</f>
        <v>243.89999999999998</v>
      </c>
      <c r="F66">
        <v>124.3</v>
      </c>
      <c r="G66">
        <f>'All_India_Index_Upto_April23 (1'!R66+'All_India_Index_Upto_April23 (1'!S66+'All_India_Index_Upto_April23 (1'!T66</f>
        <v>353.4</v>
      </c>
      <c r="H66">
        <f>'All_India_Index_Upto_April23 (1'!U66+'All_India_Index_Upto_April23 (1'!W66</f>
        <v>232.5</v>
      </c>
      <c r="I66">
        <v>112</v>
      </c>
      <c r="J66">
        <v>112.6</v>
      </c>
      <c r="K66">
        <v>111</v>
      </c>
      <c r="L66">
        <f>'All_India_Index_Upto_April23 (1'!Z66+'All_India_Index_Upto_April23 (1'!AA66+'All_India_Index_Upto_April23 (1'!AB66+'All_India_Index_Upto_April23 (1'!AC66+'All_India_Index_Upto_April23 (1'!AD66</f>
        <v>576.69999999999993</v>
      </c>
      <c r="M66">
        <f t="shared" si="0"/>
        <v>3209.9999999999995</v>
      </c>
      <c r="N66">
        <f t="shared" si="1"/>
        <v>41.85669781931464</v>
      </c>
      <c r="O66">
        <f t="shared" si="2"/>
        <v>7.5981308411214963</v>
      </c>
      <c r="P66">
        <f t="shared" si="3"/>
        <v>3.8722741433021812</v>
      </c>
      <c r="Q66">
        <f t="shared" si="4"/>
        <v>11.009345794392523</v>
      </c>
      <c r="R66">
        <f t="shared" si="5"/>
        <v>7.2429906542056086</v>
      </c>
      <c r="S66">
        <f t="shared" si="6"/>
        <v>3.4890965732087236</v>
      </c>
      <c r="T66">
        <f t="shared" si="7"/>
        <v>3.5077881619937696</v>
      </c>
      <c r="U66">
        <f t="shared" si="8"/>
        <v>3.4579439252336455</v>
      </c>
      <c r="V66">
        <f t="shared" si="9"/>
        <v>17.965732087227416</v>
      </c>
      <c r="W66">
        <f t="shared" si="10"/>
        <v>100</v>
      </c>
    </row>
    <row r="67" spans="1:23" x14ac:dyDescent="0.3">
      <c r="A67" t="s">
        <v>33</v>
      </c>
      <c r="B67">
        <v>2014</v>
      </c>
      <c r="C67" t="s">
        <v>42</v>
      </c>
      <c r="D67">
        <f>'All_India_Index_Upto_April23 (1'!D67+'All_India_Index_Upto_April23 (1'!G67+'All_India_Index_Upto_April23 (1'!H67+'All_India_Index_Upto_April23 (1'!I67+'All_India_Index_Upto_April23 (1'!J67+'All_India_Index_Upto_April23 (1'!K67+'All_India_Index_Upto_April23 (1'!L67+'All_India_Index_Upto_April23 (1'!M67+'All_India_Index_Upto_April23 (1'!N67+'All_India_Index_Upto_April23 (1'!O67+'All_India_Index_Upto_April23 (1'!P67</f>
        <v>1340.8000000000002</v>
      </c>
      <c r="E67">
        <f>'All_India_Index_Upto_April23 (1'!E67+'All_India_Index_Upto_April23 (1'!F67</f>
        <v>241.89999999999998</v>
      </c>
      <c r="F67">
        <v>121.1</v>
      </c>
      <c r="G67">
        <f>'All_India_Index_Upto_April23 (1'!R67+'All_India_Index_Upto_April23 (1'!S67+'All_India_Index_Upto_April23 (1'!T67</f>
        <v>360.6</v>
      </c>
      <c r="H67">
        <f>'All_India_Index_Upto_April23 (1'!U67+'All_India_Index_Upto_April23 (1'!W67</f>
        <v>233.4</v>
      </c>
      <c r="I67">
        <v>114.7</v>
      </c>
      <c r="J67">
        <v>114.3</v>
      </c>
      <c r="K67">
        <v>111.8</v>
      </c>
      <c r="L67">
        <f>'All_India_Index_Upto_April23 (1'!Z67+'All_India_Index_Upto_April23 (1'!AA67+'All_India_Index_Upto_April23 (1'!AB67+'All_India_Index_Upto_April23 (1'!AC67+'All_India_Index_Upto_April23 (1'!AD67</f>
        <v>575.70000000000005</v>
      </c>
      <c r="M67">
        <f t="shared" ref="M67:M130" si="11">D67+E67+F67+G67+H67+I67+J67+K67+L67</f>
        <v>3214.3</v>
      </c>
      <c r="N67">
        <f t="shared" ref="N67:N130" si="12">D67/M67*100</f>
        <v>41.713592384033852</v>
      </c>
      <c r="O67">
        <f t="shared" ref="O67:O130" si="13">E67/M67*100</f>
        <v>7.5257443300251987</v>
      </c>
      <c r="P67">
        <f t="shared" ref="P67:P130" si="14">F67/M67*100</f>
        <v>3.7675388109386176</v>
      </c>
      <c r="Q67">
        <f t="shared" ref="Q67:Q130" si="15">G67/M67*100</f>
        <v>11.218616806147528</v>
      </c>
      <c r="R67">
        <f t="shared" ref="R67:R130" si="16">H67/M67*100</f>
        <v>7.2613010608841737</v>
      </c>
      <c r="S67">
        <f t="shared" ref="S67:S130" si="17">I67/M67*100</f>
        <v>3.5684285847618451</v>
      </c>
      <c r="T67">
        <f t="shared" ref="T67:T130" si="18">J67/M67*100</f>
        <v>3.5559841956257969</v>
      </c>
      <c r="U67">
        <f t="shared" ref="U67:U130" si="19">K67/M67*100</f>
        <v>3.4782067635254954</v>
      </c>
      <c r="V67">
        <f t="shared" ref="V67:V130" si="20">L67/M67*100</f>
        <v>17.910587064057491</v>
      </c>
      <c r="W67">
        <f t="shared" ref="W67:W130" si="21">N67+O67+P67+Q67+R67+S67+T67+U67+V67</f>
        <v>100</v>
      </c>
    </row>
    <row r="68" spans="1:23" x14ac:dyDescent="0.3">
      <c r="A68" t="s">
        <v>30</v>
      </c>
      <c r="B68">
        <v>2014</v>
      </c>
      <c r="C68" t="s">
        <v>44</v>
      </c>
      <c r="D68">
        <f>'All_India_Index_Upto_April23 (1'!D68+'All_India_Index_Upto_April23 (1'!G68+'All_India_Index_Upto_April23 (1'!H68+'All_India_Index_Upto_April23 (1'!I68+'All_India_Index_Upto_April23 (1'!J68+'All_India_Index_Upto_April23 (1'!K68+'All_India_Index_Upto_April23 (1'!L68+'All_India_Index_Upto_April23 (1'!M68+'All_India_Index_Upto_April23 (1'!N68+'All_India_Index_Upto_April23 (1'!O68+'All_India_Index_Upto_April23 (1'!P68</f>
        <v>1339.5</v>
      </c>
      <c r="E68">
        <f>'All_India_Index_Upto_April23 (1'!E68+'All_India_Index_Upto_April23 (1'!F68</f>
        <v>242.5</v>
      </c>
      <c r="F68">
        <v>120.8</v>
      </c>
      <c r="G68">
        <f>'All_India_Index_Upto_April23 (1'!R68+'All_India_Index_Upto_April23 (1'!S68+'All_India_Index_Upto_April23 (1'!T68</f>
        <v>366.70000000000005</v>
      </c>
      <c r="H68">
        <f>'All_India_Index_Upto_April23 (1'!U68+'All_India_Index_Upto_April23 (1'!W68</f>
        <v>118.1</v>
      </c>
      <c r="I68">
        <v>117.3</v>
      </c>
      <c r="J68">
        <v>115.9</v>
      </c>
      <c r="K68">
        <v>112</v>
      </c>
      <c r="L68">
        <f>'All_India_Index_Upto_April23 (1'!Z68+'All_India_Index_Upto_April23 (1'!AA68+'All_India_Index_Upto_April23 (1'!AB68+'All_India_Index_Upto_April23 (1'!AC68+'All_India_Index_Upto_April23 (1'!AD68</f>
        <v>574.5</v>
      </c>
      <c r="M68">
        <f t="shared" si="11"/>
        <v>3107.3</v>
      </c>
      <c r="N68">
        <f t="shared" si="12"/>
        <v>43.108164644546711</v>
      </c>
      <c r="O68">
        <f t="shared" si="13"/>
        <v>7.8042030058249914</v>
      </c>
      <c r="P68">
        <f t="shared" si="14"/>
        <v>3.8876194767161198</v>
      </c>
      <c r="Q68">
        <f t="shared" si="15"/>
        <v>11.801242236024846</v>
      </c>
      <c r="R68">
        <f t="shared" si="16"/>
        <v>3.8007273195378617</v>
      </c>
      <c r="S68">
        <f t="shared" si="17"/>
        <v>3.7749814951887486</v>
      </c>
      <c r="T68">
        <f t="shared" si="18"/>
        <v>3.7299263025778004</v>
      </c>
      <c r="U68">
        <f t="shared" si="19"/>
        <v>3.6044154088758726</v>
      </c>
      <c r="V68">
        <f t="shared" si="20"/>
        <v>18.488720110707042</v>
      </c>
      <c r="W68">
        <f t="shared" si="21"/>
        <v>99.999999999999972</v>
      </c>
    </row>
    <row r="69" spans="1:23" x14ac:dyDescent="0.3">
      <c r="A69" t="s">
        <v>32</v>
      </c>
      <c r="B69">
        <v>2014</v>
      </c>
      <c r="C69" t="s">
        <v>44</v>
      </c>
      <c r="D69">
        <f>'All_India_Index_Upto_April23 (1'!D69+'All_India_Index_Upto_April23 (1'!G69+'All_India_Index_Upto_April23 (1'!H69+'All_India_Index_Upto_April23 (1'!I69+'All_India_Index_Upto_April23 (1'!J69+'All_India_Index_Upto_April23 (1'!K69+'All_India_Index_Upto_April23 (1'!L69+'All_India_Index_Upto_April23 (1'!M69+'All_India_Index_Upto_April23 (1'!N69+'All_India_Index_Upto_April23 (1'!O69+'All_India_Index_Upto_April23 (1'!P69</f>
        <v>1339.5000000000002</v>
      </c>
      <c r="E69">
        <f>'All_India_Index_Upto_April23 (1'!E69+'All_India_Index_Upto_April23 (1'!F69</f>
        <v>248.3</v>
      </c>
      <c r="F69">
        <v>125.8</v>
      </c>
      <c r="G69">
        <f>'All_India_Index_Upto_April23 (1'!R69+'All_India_Index_Upto_April23 (1'!S69+'All_India_Index_Upto_April23 (1'!T69</f>
        <v>355.2</v>
      </c>
      <c r="H69">
        <f>'All_India_Index_Upto_April23 (1'!U69+'All_India_Index_Upto_April23 (1'!W69</f>
        <v>233.5</v>
      </c>
      <c r="I69">
        <v>112.6</v>
      </c>
      <c r="J69">
        <v>113</v>
      </c>
      <c r="K69">
        <v>109.7</v>
      </c>
      <c r="L69">
        <f>'All_India_Index_Upto_April23 (1'!Z69+'All_India_Index_Upto_April23 (1'!AA69+'All_India_Index_Upto_April23 (1'!AB69+'All_India_Index_Upto_April23 (1'!AC69+'All_India_Index_Upto_April23 (1'!AD69</f>
        <v>576.29999999999995</v>
      </c>
      <c r="M69">
        <f t="shared" si="11"/>
        <v>3213.8999999999996</v>
      </c>
      <c r="N69">
        <f t="shared" si="12"/>
        <v>41.678334733501366</v>
      </c>
      <c r="O69">
        <f t="shared" si="13"/>
        <v>7.7258159868073069</v>
      </c>
      <c r="P69">
        <f t="shared" si="14"/>
        <v>3.9142474874762754</v>
      </c>
      <c r="Q69">
        <f t="shared" si="15"/>
        <v>11.051992905815364</v>
      </c>
      <c r="R69">
        <f t="shared" si="16"/>
        <v>7.2653162823983335</v>
      </c>
      <c r="S69">
        <f t="shared" si="17"/>
        <v>3.5035315348952989</v>
      </c>
      <c r="T69">
        <f t="shared" si="18"/>
        <v>3.5159774728522981</v>
      </c>
      <c r="U69">
        <f t="shared" si="19"/>
        <v>3.4132984847070542</v>
      </c>
      <c r="V69">
        <f t="shared" si="20"/>
        <v>17.931485111546721</v>
      </c>
      <c r="W69">
        <f t="shared" si="21"/>
        <v>100.00000000000001</v>
      </c>
    </row>
    <row r="70" spans="1:23" x14ac:dyDescent="0.3">
      <c r="A70" t="s">
        <v>33</v>
      </c>
      <c r="B70">
        <v>2014</v>
      </c>
      <c r="C70" t="s">
        <v>44</v>
      </c>
      <c r="D70">
        <f>'All_India_Index_Upto_April23 (1'!D70+'All_India_Index_Upto_April23 (1'!G70+'All_India_Index_Upto_April23 (1'!H70+'All_India_Index_Upto_April23 (1'!I70+'All_India_Index_Upto_April23 (1'!J70+'All_India_Index_Upto_April23 (1'!K70+'All_India_Index_Upto_April23 (1'!L70+'All_India_Index_Upto_April23 (1'!M70+'All_India_Index_Upto_April23 (1'!N70+'All_India_Index_Upto_April23 (1'!O70+'All_India_Index_Upto_April23 (1'!P70</f>
        <v>1338.5</v>
      </c>
      <c r="E70">
        <f>'All_India_Index_Upto_April23 (1'!E70+'All_India_Index_Upto_April23 (1'!F70</f>
        <v>244.7</v>
      </c>
      <c r="F70">
        <v>122.1</v>
      </c>
      <c r="G70">
        <f>'All_India_Index_Upto_April23 (1'!R70+'All_India_Index_Upto_April23 (1'!S70+'All_India_Index_Upto_April23 (1'!T70</f>
        <v>362.1</v>
      </c>
      <c r="H70">
        <f>'All_India_Index_Upto_April23 (1'!U70+'All_India_Index_Upto_April23 (1'!W70</f>
        <v>234.39999999999998</v>
      </c>
      <c r="I70">
        <v>115.5</v>
      </c>
      <c r="J70">
        <v>114.8</v>
      </c>
      <c r="K70">
        <v>110.8</v>
      </c>
      <c r="L70">
        <f>'All_India_Index_Upto_April23 (1'!Z70+'All_India_Index_Upto_April23 (1'!AA70+'All_India_Index_Upto_April23 (1'!AB70+'All_India_Index_Upto_April23 (1'!AC70+'All_India_Index_Upto_April23 (1'!AD70</f>
        <v>575.69999999999993</v>
      </c>
      <c r="M70">
        <f t="shared" si="11"/>
        <v>3218.6000000000004</v>
      </c>
      <c r="N70">
        <f t="shared" si="12"/>
        <v>41.58640402659541</v>
      </c>
      <c r="O70">
        <f t="shared" si="13"/>
        <v>7.6026843969427684</v>
      </c>
      <c r="P70">
        <f t="shared" si="14"/>
        <v>3.7935748462064245</v>
      </c>
      <c r="Q70">
        <f t="shared" si="15"/>
        <v>11.250233020567949</v>
      </c>
      <c r="R70">
        <f t="shared" si="16"/>
        <v>7.2826694836264192</v>
      </c>
      <c r="S70">
        <f t="shared" si="17"/>
        <v>3.5885167464114827</v>
      </c>
      <c r="T70">
        <f t="shared" si="18"/>
        <v>3.5667681600695951</v>
      </c>
      <c r="U70">
        <f t="shared" si="19"/>
        <v>3.4424905238302363</v>
      </c>
      <c r="V70">
        <f t="shared" si="20"/>
        <v>17.886658795749703</v>
      </c>
      <c r="W70">
        <f t="shared" si="21"/>
        <v>100</v>
      </c>
    </row>
    <row r="71" spans="1:23" x14ac:dyDescent="0.3">
      <c r="A71" t="s">
        <v>30</v>
      </c>
      <c r="B71">
        <v>2014</v>
      </c>
      <c r="C71" t="s">
        <v>45</v>
      </c>
      <c r="D71">
        <f>'All_India_Index_Upto_April23 (1'!D71+'All_India_Index_Upto_April23 (1'!G71+'All_India_Index_Upto_April23 (1'!H71+'All_India_Index_Upto_April23 (1'!I71+'All_India_Index_Upto_April23 (1'!J71+'All_India_Index_Upto_April23 (1'!K71+'All_India_Index_Upto_April23 (1'!L71+'All_India_Index_Upto_April23 (1'!M71+'All_India_Index_Upto_April23 (1'!N71+'All_India_Index_Upto_April23 (1'!O71+'All_India_Index_Upto_April23 (1'!P71</f>
        <v>1325.3999999999999</v>
      </c>
      <c r="E71">
        <f>'All_India_Index_Upto_April23 (1'!E71+'All_India_Index_Upto_April23 (1'!F71</f>
        <v>244.2</v>
      </c>
      <c r="F71">
        <v>121.7</v>
      </c>
      <c r="G71">
        <f>'All_India_Index_Upto_April23 (1'!R71+'All_India_Index_Upto_April23 (1'!S71+'All_India_Index_Upto_April23 (1'!T71</f>
        <v>367.7</v>
      </c>
      <c r="H71">
        <f>'All_India_Index_Upto_April23 (1'!U71+'All_India_Index_Upto_April23 (1'!W71</f>
        <v>118.2</v>
      </c>
      <c r="I71">
        <v>117.4</v>
      </c>
      <c r="J71">
        <v>116.2</v>
      </c>
      <c r="K71">
        <v>111.5</v>
      </c>
      <c r="L71">
        <f>'All_India_Index_Upto_April23 (1'!Z71+'All_India_Index_Upto_April23 (1'!AA71+'All_India_Index_Upto_April23 (1'!AB71+'All_India_Index_Upto_April23 (1'!AC71+'All_India_Index_Upto_April23 (1'!AD71</f>
        <v>574.9</v>
      </c>
      <c r="M71">
        <f t="shared" si="11"/>
        <v>3097.2</v>
      </c>
      <c r="N71">
        <f t="shared" si="12"/>
        <v>42.793490895001938</v>
      </c>
      <c r="O71">
        <f t="shared" si="13"/>
        <v>7.8845408756296003</v>
      </c>
      <c r="P71">
        <f t="shared" si="14"/>
        <v>3.9293555469456285</v>
      </c>
      <c r="Q71">
        <f t="shared" si="15"/>
        <v>11.872013431486504</v>
      </c>
      <c r="R71">
        <f t="shared" si="16"/>
        <v>3.8163502518403725</v>
      </c>
      <c r="S71">
        <f t="shared" si="17"/>
        <v>3.7905204701020283</v>
      </c>
      <c r="T71">
        <f t="shared" si="18"/>
        <v>3.7517757974945116</v>
      </c>
      <c r="U71">
        <f t="shared" si="19"/>
        <v>3.600025829781738</v>
      </c>
      <c r="V71">
        <f t="shared" si="20"/>
        <v>18.561926901717683</v>
      </c>
      <c r="W71">
        <f t="shared" si="21"/>
        <v>100.00000000000001</v>
      </c>
    </row>
    <row r="72" spans="1:23" x14ac:dyDescent="0.3">
      <c r="A72" t="s">
        <v>32</v>
      </c>
      <c r="B72">
        <v>2014</v>
      </c>
      <c r="C72" t="s">
        <v>45</v>
      </c>
      <c r="D72">
        <f>'All_India_Index_Upto_April23 (1'!D72+'All_India_Index_Upto_April23 (1'!G72+'All_India_Index_Upto_April23 (1'!H72+'All_India_Index_Upto_April23 (1'!I72+'All_India_Index_Upto_April23 (1'!J72+'All_India_Index_Upto_April23 (1'!K72+'All_India_Index_Upto_April23 (1'!L72+'All_India_Index_Upto_April23 (1'!M72+'All_India_Index_Upto_April23 (1'!N72+'All_India_Index_Upto_April23 (1'!O72+'All_India_Index_Upto_April23 (1'!P72</f>
        <v>1326.1999999999998</v>
      </c>
      <c r="E72">
        <f>'All_India_Index_Upto_April23 (1'!E72+'All_India_Index_Upto_April23 (1'!F72</f>
        <v>251</v>
      </c>
      <c r="F72">
        <v>126.4</v>
      </c>
      <c r="G72">
        <f>'All_India_Index_Upto_April23 (1'!R72+'All_India_Index_Upto_April23 (1'!S72+'All_India_Index_Upto_April23 (1'!T72</f>
        <v>356.5</v>
      </c>
      <c r="H72">
        <f>'All_India_Index_Upto_April23 (1'!U72+'All_India_Index_Upto_April23 (1'!W72</f>
        <v>233.3</v>
      </c>
      <c r="I72">
        <v>113</v>
      </c>
      <c r="J72">
        <v>113.2</v>
      </c>
      <c r="K72">
        <v>108.8</v>
      </c>
      <c r="L72">
        <f>'All_India_Index_Upto_April23 (1'!Z72+'All_India_Index_Upto_April23 (1'!AA72+'All_India_Index_Upto_April23 (1'!AB72+'All_India_Index_Upto_April23 (1'!AC72+'All_India_Index_Upto_April23 (1'!AD72</f>
        <v>577.19999999999993</v>
      </c>
      <c r="M72">
        <f t="shared" si="11"/>
        <v>3205.6</v>
      </c>
      <c r="N72">
        <f t="shared" si="12"/>
        <v>41.371350137259796</v>
      </c>
      <c r="O72">
        <f t="shared" si="13"/>
        <v>7.8300474170202152</v>
      </c>
      <c r="P72">
        <f t="shared" si="14"/>
        <v>3.9430995757424507</v>
      </c>
      <c r="Q72">
        <f t="shared" si="15"/>
        <v>11.12116296481158</v>
      </c>
      <c r="R72">
        <f t="shared" si="16"/>
        <v>7.2778886947841279</v>
      </c>
      <c r="S72">
        <f t="shared" si="17"/>
        <v>3.5250811080608937</v>
      </c>
      <c r="T72">
        <f t="shared" si="18"/>
        <v>3.5313201896680808</v>
      </c>
      <c r="U72">
        <f t="shared" si="19"/>
        <v>3.3940603943099577</v>
      </c>
      <c r="V72">
        <f t="shared" si="20"/>
        <v>18.005989518342901</v>
      </c>
      <c r="W72">
        <f t="shared" si="21"/>
        <v>100</v>
      </c>
    </row>
    <row r="73" spans="1:23" x14ac:dyDescent="0.3">
      <c r="A73" t="s">
        <v>33</v>
      </c>
      <c r="B73">
        <v>2014</v>
      </c>
      <c r="C73" t="s">
        <v>45</v>
      </c>
      <c r="D73">
        <f>'All_India_Index_Upto_April23 (1'!D73+'All_India_Index_Upto_April23 (1'!G73+'All_India_Index_Upto_April23 (1'!H73+'All_India_Index_Upto_April23 (1'!I73+'All_India_Index_Upto_April23 (1'!J73+'All_India_Index_Upto_April23 (1'!K73+'All_India_Index_Upto_April23 (1'!L73+'All_India_Index_Upto_April23 (1'!M73+'All_India_Index_Upto_April23 (1'!N73+'All_India_Index_Upto_April23 (1'!O73+'All_India_Index_Upto_April23 (1'!P73</f>
        <v>1325</v>
      </c>
      <c r="E73">
        <f>'All_India_Index_Upto_April23 (1'!E73+'All_India_Index_Upto_April23 (1'!F73</f>
        <v>246.7</v>
      </c>
      <c r="F73">
        <v>123</v>
      </c>
      <c r="G73">
        <f>'All_India_Index_Upto_April23 (1'!R73+'All_India_Index_Upto_April23 (1'!S73+'All_India_Index_Upto_April23 (1'!T73</f>
        <v>363.2</v>
      </c>
      <c r="H73">
        <f>'All_India_Index_Upto_April23 (1'!U73+'All_India_Index_Upto_April23 (1'!W73</f>
        <v>234</v>
      </c>
      <c r="I73">
        <v>115.7</v>
      </c>
      <c r="J73">
        <v>115.1</v>
      </c>
      <c r="K73">
        <v>110.1</v>
      </c>
      <c r="L73">
        <f>'All_India_Index_Upto_April23 (1'!Z73+'All_India_Index_Upto_April23 (1'!AA73+'All_India_Index_Upto_April23 (1'!AB73+'All_India_Index_Upto_April23 (1'!AC73+'All_India_Index_Upto_April23 (1'!AD73</f>
        <v>576.4</v>
      </c>
      <c r="M73">
        <f t="shared" si="11"/>
        <v>3209.2</v>
      </c>
      <c r="N73">
        <f t="shared" si="12"/>
        <v>41.287548298641411</v>
      </c>
      <c r="O73">
        <f t="shared" si="13"/>
        <v>7.6872740869998752</v>
      </c>
      <c r="P73">
        <f t="shared" si="14"/>
        <v>3.8327308986663344</v>
      </c>
      <c r="Q73">
        <f t="shared" si="15"/>
        <v>11.31746229589929</v>
      </c>
      <c r="R73">
        <f t="shared" si="16"/>
        <v>7.2915368316091245</v>
      </c>
      <c r="S73">
        <f t="shared" si="17"/>
        <v>3.6052598778511782</v>
      </c>
      <c r="T73">
        <f t="shared" si="18"/>
        <v>3.5865636295650005</v>
      </c>
      <c r="U73">
        <f t="shared" si="19"/>
        <v>3.4307615605135231</v>
      </c>
      <c r="V73">
        <f t="shared" si="20"/>
        <v>17.96086252025427</v>
      </c>
      <c r="W73">
        <f t="shared" si="21"/>
        <v>100</v>
      </c>
    </row>
    <row r="74" spans="1:23" x14ac:dyDescent="0.3">
      <c r="A74" t="s">
        <v>30</v>
      </c>
      <c r="B74">
        <v>2015</v>
      </c>
      <c r="C74" t="s">
        <v>31</v>
      </c>
      <c r="D74">
        <f>'All_India_Index_Upto_April23 (1'!D74+'All_India_Index_Upto_April23 (1'!G74+'All_India_Index_Upto_April23 (1'!H74+'All_India_Index_Upto_April23 (1'!I74+'All_India_Index_Upto_April23 (1'!J74+'All_India_Index_Upto_April23 (1'!K74+'All_India_Index_Upto_April23 (1'!L74+'All_India_Index_Upto_April23 (1'!M74+'All_India_Index_Upto_April23 (1'!N74+'All_India_Index_Upto_April23 (1'!O74+'All_India_Index_Upto_April23 (1'!P74</f>
        <v>1322.9</v>
      </c>
      <c r="E74">
        <f>'All_India_Index_Upto_April23 (1'!E74+'All_India_Index_Upto_April23 (1'!F74</f>
        <v>245.2</v>
      </c>
      <c r="F74">
        <v>122.7</v>
      </c>
      <c r="G74">
        <f>'All_India_Index_Upto_April23 (1'!R74+'All_India_Index_Upto_April23 (1'!S74+'All_India_Index_Upto_April23 (1'!T74</f>
        <v>370</v>
      </c>
      <c r="H74">
        <f>'All_India_Index_Upto_April23 (1'!U74+'All_India_Index_Upto_April23 (1'!W74</f>
        <v>118.9</v>
      </c>
      <c r="I74">
        <v>118.4</v>
      </c>
      <c r="J74">
        <v>116.6</v>
      </c>
      <c r="K74">
        <v>111</v>
      </c>
      <c r="L74">
        <f>'All_India_Index_Upto_April23 (1'!Z74+'All_India_Index_Upto_April23 (1'!AA74+'All_India_Index_Upto_April23 (1'!AB74+'All_India_Index_Upto_April23 (1'!AC74+'All_India_Index_Upto_April23 (1'!AD74</f>
        <v>577.19999999999993</v>
      </c>
      <c r="M74">
        <f t="shared" si="11"/>
        <v>3102.9</v>
      </c>
      <c r="N74">
        <f t="shared" si="12"/>
        <v>42.634309839182698</v>
      </c>
      <c r="O74">
        <f t="shared" si="13"/>
        <v>7.9022849592316851</v>
      </c>
      <c r="P74">
        <f t="shared" si="14"/>
        <v>3.9543652711979114</v>
      </c>
      <c r="Q74">
        <f t="shared" si="15"/>
        <v>11.924328853653034</v>
      </c>
      <c r="R74">
        <f t="shared" si="16"/>
        <v>3.8318991910793132</v>
      </c>
      <c r="S74">
        <f t="shared" si="17"/>
        <v>3.8157852331689708</v>
      </c>
      <c r="T74">
        <f t="shared" si="18"/>
        <v>3.7577749846917397</v>
      </c>
      <c r="U74">
        <f t="shared" si="19"/>
        <v>3.5772986560959099</v>
      </c>
      <c r="V74">
        <f t="shared" si="20"/>
        <v>18.601953011698729</v>
      </c>
      <c r="W74">
        <f t="shared" si="21"/>
        <v>99.999999999999986</v>
      </c>
    </row>
    <row r="75" spans="1:23" x14ac:dyDescent="0.3">
      <c r="A75" t="s">
        <v>32</v>
      </c>
      <c r="B75">
        <v>2015</v>
      </c>
      <c r="C75" t="s">
        <v>31</v>
      </c>
      <c r="D75">
        <f>'All_India_Index_Upto_April23 (1'!D75+'All_India_Index_Upto_April23 (1'!G75+'All_India_Index_Upto_April23 (1'!H75+'All_India_Index_Upto_April23 (1'!I75+'All_India_Index_Upto_April23 (1'!J75+'All_India_Index_Upto_April23 (1'!K75+'All_India_Index_Upto_April23 (1'!L75+'All_India_Index_Upto_April23 (1'!M75+'All_India_Index_Upto_April23 (1'!N75+'All_India_Index_Upto_April23 (1'!O75+'All_India_Index_Upto_April23 (1'!P75</f>
        <v>1322.8000000000002</v>
      </c>
      <c r="E75">
        <f>'All_India_Index_Upto_April23 (1'!E75+'All_India_Index_Upto_April23 (1'!F75</f>
        <v>252.1</v>
      </c>
      <c r="F75">
        <v>127.4</v>
      </c>
      <c r="G75">
        <f>'All_India_Index_Upto_April23 (1'!R75+'All_India_Index_Upto_April23 (1'!S75+'All_India_Index_Upto_April23 (1'!T75</f>
        <v>357.3</v>
      </c>
      <c r="H75">
        <f>'All_India_Index_Upto_April23 (1'!U75+'All_India_Index_Upto_April23 (1'!W75</f>
        <v>234.5</v>
      </c>
      <c r="I75">
        <v>113.4</v>
      </c>
      <c r="J75">
        <v>113.7</v>
      </c>
      <c r="K75">
        <v>107.9</v>
      </c>
      <c r="L75">
        <f>'All_India_Index_Upto_April23 (1'!Z75+'All_India_Index_Upto_April23 (1'!AA75+'All_India_Index_Upto_April23 (1'!AB75+'All_India_Index_Upto_April23 (1'!AC75+'All_India_Index_Upto_April23 (1'!AD75</f>
        <v>578.69999999999993</v>
      </c>
      <c r="M75">
        <f t="shared" si="11"/>
        <v>3207.8</v>
      </c>
      <c r="N75">
        <f t="shared" si="12"/>
        <v>41.236984849429518</v>
      </c>
      <c r="O75">
        <f t="shared" si="13"/>
        <v>7.8589687636386296</v>
      </c>
      <c r="P75">
        <f t="shared" si="14"/>
        <v>3.9715692998316601</v>
      </c>
      <c r="Q75">
        <f t="shared" si="15"/>
        <v>11.138474967267285</v>
      </c>
      <c r="R75">
        <f t="shared" si="16"/>
        <v>7.3103061288110229</v>
      </c>
      <c r="S75">
        <f t="shared" si="17"/>
        <v>3.5351331130369723</v>
      </c>
      <c r="T75">
        <f t="shared" si="18"/>
        <v>3.5444853170397153</v>
      </c>
      <c r="U75">
        <f t="shared" si="19"/>
        <v>3.3636760396533445</v>
      </c>
      <c r="V75">
        <f t="shared" si="20"/>
        <v>18.040401521291848</v>
      </c>
      <c r="W75">
        <f t="shared" si="21"/>
        <v>100</v>
      </c>
    </row>
    <row r="76" spans="1:23" x14ac:dyDescent="0.3">
      <c r="A76" t="s">
        <v>33</v>
      </c>
      <c r="B76">
        <v>2015</v>
      </c>
      <c r="C76" t="s">
        <v>31</v>
      </c>
      <c r="D76">
        <f>'All_India_Index_Upto_April23 (1'!D76+'All_India_Index_Upto_April23 (1'!G76+'All_India_Index_Upto_April23 (1'!H76+'All_India_Index_Upto_April23 (1'!I76+'All_India_Index_Upto_April23 (1'!J76+'All_India_Index_Upto_April23 (1'!K76+'All_India_Index_Upto_April23 (1'!L76+'All_India_Index_Upto_April23 (1'!M76+'All_India_Index_Upto_April23 (1'!N76+'All_India_Index_Upto_April23 (1'!O76+'All_India_Index_Upto_April23 (1'!P76</f>
        <v>1321.6</v>
      </c>
      <c r="E76">
        <f>'All_India_Index_Upto_April23 (1'!E76+'All_India_Index_Upto_April23 (1'!F76</f>
        <v>247.7</v>
      </c>
      <c r="F76">
        <v>124</v>
      </c>
      <c r="G76">
        <f>'All_India_Index_Upto_April23 (1'!R76+'All_India_Index_Upto_April23 (1'!S76+'All_India_Index_Upto_April23 (1'!T76</f>
        <v>364.9</v>
      </c>
      <c r="H76">
        <f>'All_India_Index_Upto_April23 (1'!U76+'All_India_Index_Upto_April23 (1'!W76</f>
        <v>235.39999999999998</v>
      </c>
      <c r="I76">
        <v>116.5</v>
      </c>
      <c r="J76">
        <v>115.5</v>
      </c>
      <c r="K76">
        <v>109.4</v>
      </c>
      <c r="L76">
        <f>'All_India_Index_Upto_April23 (1'!Z76+'All_India_Index_Upto_April23 (1'!AA76+'All_India_Index_Upto_April23 (1'!AB76+'All_India_Index_Upto_April23 (1'!AC76+'All_India_Index_Upto_April23 (1'!AD76</f>
        <v>578.20000000000005</v>
      </c>
      <c r="M76">
        <f t="shared" si="11"/>
        <v>3213.2</v>
      </c>
      <c r="N76">
        <f t="shared" si="12"/>
        <v>41.130337358396609</v>
      </c>
      <c r="O76">
        <f t="shared" si="13"/>
        <v>7.7088260923689784</v>
      </c>
      <c r="P76">
        <f t="shared" si="14"/>
        <v>3.8590812896800699</v>
      </c>
      <c r="Q76">
        <f t="shared" si="15"/>
        <v>11.356280343582721</v>
      </c>
      <c r="R76">
        <f t="shared" si="16"/>
        <v>7.3260301257313571</v>
      </c>
      <c r="S76">
        <f t="shared" si="17"/>
        <v>3.6256691149010334</v>
      </c>
      <c r="T76">
        <f t="shared" si="18"/>
        <v>3.5945474915971616</v>
      </c>
      <c r="U76">
        <f t="shared" si="19"/>
        <v>3.4047055894435454</v>
      </c>
      <c r="V76">
        <f t="shared" si="20"/>
        <v>17.99452259429852</v>
      </c>
      <c r="W76">
        <f t="shared" si="21"/>
        <v>99.999999999999986</v>
      </c>
    </row>
    <row r="77" spans="1:23" x14ac:dyDescent="0.3">
      <c r="A77" t="s">
        <v>30</v>
      </c>
      <c r="B77">
        <v>2015</v>
      </c>
      <c r="C77" t="s">
        <v>34</v>
      </c>
      <c r="D77">
        <f>'All_India_Index_Upto_April23 (1'!D77+'All_India_Index_Upto_April23 (1'!G77+'All_India_Index_Upto_April23 (1'!H77+'All_India_Index_Upto_April23 (1'!I77+'All_India_Index_Upto_April23 (1'!J77+'All_India_Index_Upto_April23 (1'!K77+'All_India_Index_Upto_April23 (1'!L77+'All_India_Index_Upto_April23 (1'!M77+'All_India_Index_Upto_April23 (1'!N77+'All_India_Index_Upto_April23 (1'!O77+'All_India_Index_Upto_April23 (1'!P77</f>
        <v>1324.1</v>
      </c>
      <c r="E77">
        <f>'All_India_Index_Upto_April23 (1'!E77+'All_India_Index_Upto_April23 (1'!F77</f>
        <v>246.5</v>
      </c>
      <c r="F77">
        <v>124.2</v>
      </c>
      <c r="G77">
        <f>'All_India_Index_Upto_April23 (1'!R77+'All_India_Index_Upto_April23 (1'!S77+'All_India_Index_Upto_April23 (1'!T77</f>
        <v>373.1</v>
      </c>
      <c r="H77">
        <f>'All_India_Index_Upto_April23 (1'!U77+'All_India_Index_Upto_April23 (1'!W77</f>
        <v>119.6</v>
      </c>
      <c r="I77">
        <v>120</v>
      </c>
      <c r="J77">
        <v>117.7</v>
      </c>
      <c r="K77">
        <v>110.9</v>
      </c>
      <c r="L77">
        <f>'All_India_Index_Upto_April23 (1'!Z77+'All_India_Index_Upto_April23 (1'!AA77+'All_India_Index_Upto_April23 (1'!AB77+'All_India_Index_Upto_April23 (1'!AC77+'All_India_Index_Upto_April23 (1'!AD77</f>
        <v>579.9</v>
      </c>
      <c r="M77">
        <f t="shared" si="11"/>
        <v>3116</v>
      </c>
      <c r="N77">
        <f t="shared" si="12"/>
        <v>42.493581514762511</v>
      </c>
      <c r="O77">
        <f t="shared" si="13"/>
        <v>7.9107830551989737</v>
      </c>
      <c r="P77">
        <f t="shared" si="14"/>
        <v>3.9858793324775355</v>
      </c>
      <c r="Q77">
        <f t="shared" si="15"/>
        <v>11.973684210526317</v>
      </c>
      <c r="R77">
        <f t="shared" si="16"/>
        <v>3.8382541720154038</v>
      </c>
      <c r="S77">
        <f t="shared" si="17"/>
        <v>3.8510911424903727</v>
      </c>
      <c r="T77">
        <f t="shared" si="18"/>
        <v>3.777278562259307</v>
      </c>
      <c r="U77">
        <f t="shared" si="19"/>
        <v>3.5590500641848521</v>
      </c>
      <c r="V77">
        <f t="shared" si="20"/>
        <v>18.610397946084724</v>
      </c>
      <c r="W77">
        <f t="shared" si="21"/>
        <v>100.00000000000003</v>
      </c>
    </row>
    <row r="78" spans="1:23" x14ac:dyDescent="0.3">
      <c r="A78" t="s">
        <v>32</v>
      </c>
      <c r="B78">
        <v>2015</v>
      </c>
      <c r="C78" t="s">
        <v>34</v>
      </c>
      <c r="D78">
        <f>'All_India_Index_Upto_April23 (1'!D78+'All_India_Index_Upto_April23 (1'!G78+'All_India_Index_Upto_April23 (1'!H78+'All_India_Index_Upto_April23 (1'!I78+'All_India_Index_Upto_April23 (1'!J78+'All_India_Index_Upto_April23 (1'!K78+'All_India_Index_Upto_April23 (1'!L78+'All_India_Index_Upto_April23 (1'!M78+'All_India_Index_Upto_April23 (1'!N78+'All_India_Index_Upto_April23 (1'!O78+'All_India_Index_Upto_April23 (1'!P78</f>
        <v>1325.1000000000001</v>
      </c>
      <c r="E78">
        <f>'All_India_Index_Upto_April23 (1'!E78+'All_India_Index_Upto_April23 (1'!F78</f>
        <v>246</v>
      </c>
      <c r="F78">
        <v>128.1</v>
      </c>
      <c r="G78">
        <f>'All_India_Index_Upto_April23 (1'!R78+'All_India_Index_Upto_April23 (1'!S78+'All_India_Index_Upto_April23 (1'!T78</f>
        <v>358.4</v>
      </c>
      <c r="H78">
        <f>'All_India_Index_Upto_April23 (1'!U78+'All_India_Index_Upto_April23 (1'!W78</f>
        <v>235.8</v>
      </c>
      <c r="I78">
        <v>114</v>
      </c>
      <c r="J78">
        <v>114.1</v>
      </c>
      <c r="K78">
        <v>106.8</v>
      </c>
      <c r="L78">
        <f>'All_India_Index_Upto_April23 (1'!Z78+'All_India_Index_Upto_April23 (1'!AA78+'All_India_Index_Upto_April23 (1'!AB78+'All_India_Index_Upto_April23 (1'!AC78+'All_India_Index_Upto_April23 (1'!AD78</f>
        <v>578.9</v>
      </c>
      <c r="M78">
        <f t="shared" si="11"/>
        <v>3207.2000000000003</v>
      </c>
      <c r="N78">
        <f t="shared" si="12"/>
        <v>41.316413070591167</v>
      </c>
      <c r="O78">
        <f t="shared" si="13"/>
        <v>7.6702419555998986</v>
      </c>
      <c r="P78">
        <f t="shared" si="14"/>
        <v>3.9941381890745817</v>
      </c>
      <c r="Q78">
        <f t="shared" si="15"/>
        <v>11.174856572711397</v>
      </c>
      <c r="R78">
        <f t="shared" si="16"/>
        <v>7.3522075330506365</v>
      </c>
      <c r="S78">
        <f t="shared" si="17"/>
        <v>3.5545023696682465</v>
      </c>
      <c r="T78">
        <f t="shared" si="18"/>
        <v>3.5576203542030429</v>
      </c>
      <c r="U78">
        <f t="shared" si="19"/>
        <v>3.3300074831628832</v>
      </c>
      <c r="V78">
        <f t="shared" si="20"/>
        <v>18.050012471938139</v>
      </c>
      <c r="W78">
        <f t="shared" si="21"/>
        <v>99.999999999999972</v>
      </c>
    </row>
    <row r="79" spans="1:23" x14ac:dyDescent="0.3">
      <c r="A79" t="s">
        <v>33</v>
      </c>
      <c r="B79">
        <v>2015</v>
      </c>
      <c r="C79" t="s">
        <v>34</v>
      </c>
      <c r="D79">
        <f>'All_India_Index_Upto_April23 (1'!D79+'All_India_Index_Upto_April23 (1'!G79+'All_India_Index_Upto_April23 (1'!H79+'All_India_Index_Upto_April23 (1'!I79+'All_India_Index_Upto_April23 (1'!J79+'All_India_Index_Upto_April23 (1'!K79+'All_India_Index_Upto_April23 (1'!L79+'All_India_Index_Upto_April23 (1'!M79+'All_India_Index_Upto_April23 (1'!N79+'All_India_Index_Upto_April23 (1'!O79+'All_India_Index_Upto_April23 (1'!P79</f>
        <v>1323.1999999999998</v>
      </c>
      <c r="E79">
        <f>'All_India_Index_Upto_April23 (1'!E79+'All_India_Index_Upto_April23 (1'!F79</f>
        <v>246.2</v>
      </c>
      <c r="F79">
        <v>125.2</v>
      </c>
      <c r="G79">
        <f>'All_India_Index_Upto_April23 (1'!R79+'All_India_Index_Upto_April23 (1'!S79+'All_India_Index_Upto_April23 (1'!T79</f>
        <v>367.2</v>
      </c>
      <c r="H79">
        <f>'All_India_Index_Upto_April23 (1'!U79+'All_India_Index_Upto_April23 (1'!W79</f>
        <v>236.8</v>
      </c>
      <c r="I79">
        <v>117.7</v>
      </c>
      <c r="J79">
        <v>116.3</v>
      </c>
      <c r="K79">
        <v>108.7</v>
      </c>
      <c r="L79">
        <f>'All_India_Index_Upto_April23 (1'!Z79+'All_India_Index_Upto_April23 (1'!AA79+'All_India_Index_Upto_April23 (1'!AB79+'All_India_Index_Upto_April23 (1'!AC79+'All_India_Index_Upto_April23 (1'!AD79</f>
        <v>579.6</v>
      </c>
      <c r="M79">
        <f t="shared" si="11"/>
        <v>3220.8999999999996</v>
      </c>
      <c r="N79">
        <f t="shared" si="12"/>
        <v>41.081685243254988</v>
      </c>
      <c r="O79">
        <f t="shared" si="13"/>
        <v>7.6438262597410667</v>
      </c>
      <c r="P79">
        <f t="shared" si="14"/>
        <v>3.8871122978049621</v>
      </c>
      <c r="Q79">
        <f t="shared" si="15"/>
        <v>11.400540221677172</v>
      </c>
      <c r="R79">
        <f t="shared" si="16"/>
        <v>7.3519823651774354</v>
      </c>
      <c r="S79">
        <f t="shared" si="17"/>
        <v>3.6542581266105754</v>
      </c>
      <c r="T79">
        <f t="shared" si="18"/>
        <v>3.6107920146542898</v>
      </c>
      <c r="U79">
        <f t="shared" si="19"/>
        <v>3.374833121177311</v>
      </c>
      <c r="V79">
        <f t="shared" si="20"/>
        <v>17.994970349902204</v>
      </c>
      <c r="W79">
        <f t="shared" si="21"/>
        <v>100.00000000000001</v>
      </c>
    </row>
    <row r="80" spans="1:23" x14ac:dyDescent="0.3">
      <c r="A80" t="s">
        <v>30</v>
      </c>
      <c r="B80">
        <v>2015</v>
      </c>
      <c r="C80" t="s">
        <v>35</v>
      </c>
      <c r="D80">
        <f>'All_India_Index_Upto_April23 (1'!D80+'All_India_Index_Upto_April23 (1'!G80+'All_India_Index_Upto_April23 (1'!H80+'All_India_Index_Upto_April23 (1'!I80+'All_India_Index_Upto_April23 (1'!J80+'All_India_Index_Upto_April23 (1'!K80+'All_India_Index_Upto_April23 (1'!L80+'All_India_Index_Upto_April23 (1'!M80+'All_India_Index_Upto_April23 (1'!N80+'All_India_Index_Upto_April23 (1'!O80+'All_India_Index_Upto_April23 (1'!P80</f>
        <v>1327.8999999999999</v>
      </c>
      <c r="E80">
        <f>'All_India_Index_Upto_April23 (1'!E80+'All_India_Index_Upto_April23 (1'!F80</f>
        <v>243.60000000000002</v>
      </c>
      <c r="F80">
        <v>124.7</v>
      </c>
      <c r="G80">
        <f>'All_India_Index_Upto_April23 (1'!R80+'All_India_Index_Upto_April23 (1'!S80+'All_India_Index_Upto_April23 (1'!T80</f>
        <v>374.4</v>
      </c>
      <c r="H80">
        <f>'All_India_Index_Upto_April23 (1'!U80+'All_India_Index_Upto_April23 (1'!W80</f>
        <v>120.2</v>
      </c>
      <c r="I80">
        <v>120.6</v>
      </c>
      <c r="J80">
        <v>118.2</v>
      </c>
      <c r="K80">
        <v>111.6</v>
      </c>
      <c r="L80">
        <f>'All_India_Index_Upto_April23 (1'!Z80+'All_India_Index_Upto_April23 (1'!AA80+'All_India_Index_Upto_April23 (1'!AB80+'All_India_Index_Upto_April23 (1'!AC80+'All_India_Index_Upto_April23 (1'!AD80</f>
        <v>582.29999999999995</v>
      </c>
      <c r="M80">
        <f t="shared" si="11"/>
        <v>3123.4999999999991</v>
      </c>
      <c r="N80">
        <f t="shared" si="12"/>
        <v>42.513206339042746</v>
      </c>
      <c r="O80">
        <f t="shared" si="13"/>
        <v>7.7989434928765835</v>
      </c>
      <c r="P80">
        <f t="shared" si="14"/>
        <v>3.9923163118296792</v>
      </c>
      <c r="Q80">
        <f t="shared" si="15"/>
        <v>11.986553545701941</v>
      </c>
      <c r="R80">
        <f t="shared" si="16"/>
        <v>3.8482471586361462</v>
      </c>
      <c r="S80">
        <f t="shared" si="17"/>
        <v>3.8610533055866827</v>
      </c>
      <c r="T80">
        <f t="shared" si="18"/>
        <v>3.784216423883465</v>
      </c>
      <c r="U80">
        <f t="shared" si="19"/>
        <v>3.5729149991996167</v>
      </c>
      <c r="V80">
        <f t="shared" si="20"/>
        <v>18.642548423243159</v>
      </c>
      <c r="W80">
        <f t="shared" si="21"/>
        <v>100</v>
      </c>
    </row>
    <row r="81" spans="1:23" x14ac:dyDescent="0.3">
      <c r="A81" t="s">
        <v>32</v>
      </c>
      <c r="B81">
        <v>2015</v>
      </c>
      <c r="C81" t="s">
        <v>35</v>
      </c>
      <c r="D81">
        <f>'All_India_Index_Upto_April23 (1'!D81+'All_India_Index_Upto_April23 (1'!G81+'All_India_Index_Upto_April23 (1'!H81+'All_India_Index_Upto_April23 (1'!I81+'All_India_Index_Upto_April23 (1'!J81+'All_India_Index_Upto_April23 (1'!K81+'All_India_Index_Upto_April23 (1'!L81+'All_India_Index_Upto_April23 (1'!M81+'All_India_Index_Upto_April23 (1'!N81+'All_India_Index_Upto_April23 (1'!O81+'All_India_Index_Upto_April23 (1'!P81</f>
        <v>1327.8000000000002</v>
      </c>
      <c r="E81">
        <f>'All_India_Index_Upto_April23 (1'!E81+'All_India_Index_Upto_April23 (1'!F81</f>
        <v>240.2</v>
      </c>
      <c r="F81">
        <v>128.80000000000001</v>
      </c>
      <c r="G81">
        <f>'All_India_Index_Upto_April23 (1'!R81+'All_India_Index_Upto_April23 (1'!S81+'All_India_Index_Upto_April23 (1'!T81</f>
        <v>359.5</v>
      </c>
      <c r="H81">
        <f>'All_India_Index_Upto_April23 (1'!U81+'All_India_Index_Upto_April23 (1'!W81</f>
        <v>236.6</v>
      </c>
      <c r="I81">
        <v>114.4</v>
      </c>
      <c r="J81">
        <v>114.3</v>
      </c>
      <c r="K81">
        <v>108.4</v>
      </c>
      <c r="L81">
        <f>'All_India_Index_Upto_April23 (1'!Z81+'All_India_Index_Upto_April23 (1'!AA81+'All_India_Index_Upto_April23 (1'!AB81+'All_India_Index_Upto_April23 (1'!AC81+'All_India_Index_Upto_April23 (1'!AD81</f>
        <v>580.20000000000005</v>
      </c>
      <c r="M81">
        <f t="shared" si="11"/>
        <v>3210.2000000000007</v>
      </c>
      <c r="N81">
        <f t="shared" si="12"/>
        <v>41.361908915332371</v>
      </c>
      <c r="O81">
        <f t="shared" si="13"/>
        <v>7.4823998504766038</v>
      </c>
      <c r="P81">
        <f t="shared" si="14"/>
        <v>4.0122110771914512</v>
      </c>
      <c r="Q81">
        <f t="shared" si="15"/>
        <v>11.198679210018064</v>
      </c>
      <c r="R81">
        <f t="shared" si="16"/>
        <v>7.3702573048408171</v>
      </c>
      <c r="S81">
        <f t="shared" si="17"/>
        <v>3.5636408946483082</v>
      </c>
      <c r="T81">
        <f t="shared" si="18"/>
        <v>3.5605258239362025</v>
      </c>
      <c r="U81">
        <f t="shared" si="19"/>
        <v>3.3767366519219979</v>
      </c>
      <c r="V81">
        <f t="shared" si="20"/>
        <v>18.073640271634165</v>
      </c>
      <c r="W81">
        <f t="shared" si="21"/>
        <v>99.999999999999986</v>
      </c>
    </row>
    <row r="82" spans="1:23" x14ac:dyDescent="0.3">
      <c r="A82" t="s">
        <v>33</v>
      </c>
      <c r="B82">
        <v>2015</v>
      </c>
      <c r="C82" t="s">
        <v>35</v>
      </c>
      <c r="D82">
        <f>'All_India_Index_Upto_April23 (1'!D82+'All_India_Index_Upto_April23 (1'!G82+'All_India_Index_Upto_April23 (1'!H82+'All_India_Index_Upto_April23 (1'!I82+'All_India_Index_Upto_April23 (1'!J82+'All_India_Index_Upto_April23 (1'!K82+'All_India_Index_Upto_April23 (1'!L82+'All_India_Index_Upto_April23 (1'!M82+'All_India_Index_Upto_April23 (1'!N82+'All_India_Index_Upto_April23 (1'!O82+'All_India_Index_Upto_April23 (1'!P82</f>
        <v>1326.9</v>
      </c>
      <c r="E82">
        <f>'All_India_Index_Upto_April23 (1'!E82+'All_India_Index_Upto_April23 (1'!F82</f>
        <v>242.2</v>
      </c>
      <c r="F82">
        <v>125.8</v>
      </c>
      <c r="G82">
        <f>'All_India_Index_Upto_April23 (1'!R82+'All_India_Index_Upto_April23 (1'!S82+'All_India_Index_Upto_April23 (1'!T82</f>
        <v>368.4</v>
      </c>
      <c r="H82">
        <f>'All_India_Index_Upto_April23 (1'!U82+'All_India_Index_Upto_April23 (1'!W82</f>
        <v>237.8</v>
      </c>
      <c r="I82">
        <v>118.3</v>
      </c>
      <c r="J82">
        <v>116.7</v>
      </c>
      <c r="K82">
        <v>109.9</v>
      </c>
      <c r="L82">
        <f>'All_India_Index_Upto_April23 (1'!Z82+'All_India_Index_Upto_April23 (1'!AA82+'All_India_Index_Upto_April23 (1'!AB82+'All_India_Index_Upto_April23 (1'!AC82+'All_India_Index_Upto_April23 (1'!AD82</f>
        <v>581.4</v>
      </c>
      <c r="M82">
        <f t="shared" si="11"/>
        <v>3227.4000000000005</v>
      </c>
      <c r="N82">
        <f t="shared" si="12"/>
        <v>41.113589886596017</v>
      </c>
      <c r="O82">
        <f t="shared" si="13"/>
        <v>7.504492780566399</v>
      </c>
      <c r="P82">
        <f t="shared" si="14"/>
        <v>3.8978744500216886</v>
      </c>
      <c r="Q82">
        <f t="shared" si="15"/>
        <v>11.414761108012639</v>
      </c>
      <c r="R82">
        <f t="shared" si="16"/>
        <v>7.3681601288963243</v>
      </c>
      <c r="S82">
        <f t="shared" si="17"/>
        <v>3.6654892483113337</v>
      </c>
      <c r="T82">
        <f t="shared" si="18"/>
        <v>3.6159137386131244</v>
      </c>
      <c r="U82">
        <f t="shared" si="19"/>
        <v>3.4052178223957363</v>
      </c>
      <c r="V82">
        <f t="shared" si="20"/>
        <v>18.014500836586723</v>
      </c>
      <c r="W82">
        <f t="shared" si="21"/>
        <v>100</v>
      </c>
    </row>
    <row r="83" spans="1:23" x14ac:dyDescent="0.3">
      <c r="A83" t="s">
        <v>30</v>
      </c>
      <c r="B83">
        <v>2015</v>
      </c>
      <c r="C83" t="s">
        <v>36</v>
      </c>
      <c r="D83">
        <f>'All_India_Index_Upto_April23 (1'!D83+'All_India_Index_Upto_April23 (1'!G83+'All_India_Index_Upto_April23 (1'!H83+'All_India_Index_Upto_April23 (1'!I83+'All_India_Index_Upto_April23 (1'!J83+'All_India_Index_Upto_April23 (1'!K83+'All_India_Index_Upto_April23 (1'!L83+'All_India_Index_Upto_April23 (1'!M83+'All_India_Index_Upto_April23 (1'!N83+'All_India_Index_Upto_April23 (1'!O83+'All_India_Index_Upto_April23 (1'!P83</f>
        <v>1334.5</v>
      </c>
      <c r="E83">
        <f>'All_India_Index_Upto_April23 (1'!E83+'All_India_Index_Upto_April23 (1'!F83</f>
        <v>242.7</v>
      </c>
      <c r="F83">
        <v>125.7</v>
      </c>
      <c r="G83">
        <f>'All_India_Index_Upto_April23 (1'!R83+'All_India_Index_Upto_April23 (1'!S83+'All_India_Index_Upto_April23 (1'!T83</f>
        <v>375.7</v>
      </c>
      <c r="H83">
        <f>'All_India_Index_Upto_April23 (1'!U83+'All_India_Index_Upto_April23 (1'!W83</f>
        <v>120.9</v>
      </c>
      <c r="I83">
        <v>121.2</v>
      </c>
      <c r="J83">
        <v>118.6</v>
      </c>
      <c r="K83">
        <v>111.9</v>
      </c>
      <c r="L83">
        <f>'All_India_Index_Upto_April23 (1'!Z83+'All_India_Index_Upto_April23 (1'!AA83+'All_India_Index_Upto_April23 (1'!AB83+'All_India_Index_Upto_April23 (1'!AC83+'All_India_Index_Upto_April23 (1'!AD83</f>
        <v>585.20000000000005</v>
      </c>
      <c r="M83">
        <f t="shared" si="11"/>
        <v>3136.3999999999996</v>
      </c>
      <c r="N83">
        <f t="shared" si="12"/>
        <v>42.548782043106755</v>
      </c>
      <c r="O83">
        <f t="shared" si="13"/>
        <v>7.7381711516388219</v>
      </c>
      <c r="P83">
        <f t="shared" si="14"/>
        <v>4.0077796199464357</v>
      </c>
      <c r="Q83">
        <f t="shared" si="15"/>
        <v>11.978701696212218</v>
      </c>
      <c r="R83">
        <f t="shared" si="16"/>
        <v>3.8547379160821329</v>
      </c>
      <c r="S83">
        <f t="shared" si="17"/>
        <v>3.8643030225736523</v>
      </c>
      <c r="T83">
        <f t="shared" si="18"/>
        <v>3.7814054329804878</v>
      </c>
      <c r="U83">
        <f t="shared" si="19"/>
        <v>3.5677847213365652</v>
      </c>
      <c r="V83">
        <f t="shared" si="20"/>
        <v>18.658334396122946</v>
      </c>
      <c r="W83">
        <f t="shared" si="21"/>
        <v>100</v>
      </c>
    </row>
    <row r="84" spans="1:23" x14ac:dyDescent="0.3">
      <c r="A84" t="s">
        <v>32</v>
      </c>
      <c r="B84">
        <v>2015</v>
      </c>
      <c r="C84" t="s">
        <v>36</v>
      </c>
      <c r="D84">
        <f>'All_India_Index_Upto_April23 (1'!D84+'All_India_Index_Upto_April23 (1'!G84+'All_India_Index_Upto_April23 (1'!H84+'All_India_Index_Upto_April23 (1'!I84+'All_India_Index_Upto_April23 (1'!J84+'All_India_Index_Upto_April23 (1'!K84+'All_India_Index_Upto_April23 (1'!L84+'All_India_Index_Upto_April23 (1'!M84+'All_India_Index_Upto_April23 (1'!N84+'All_India_Index_Upto_April23 (1'!O84+'All_India_Index_Upto_April23 (1'!P84</f>
        <v>1337.8999999999999</v>
      </c>
      <c r="E84">
        <f>'All_India_Index_Upto_April23 (1'!E84+'All_India_Index_Upto_April23 (1'!F84</f>
        <v>238.2</v>
      </c>
      <c r="F84">
        <v>130.1</v>
      </c>
      <c r="G84">
        <f>'All_India_Index_Upto_April23 (1'!R84+'All_India_Index_Upto_April23 (1'!S84+'All_India_Index_Upto_April23 (1'!T84</f>
        <v>360.6</v>
      </c>
      <c r="H84">
        <f>'All_India_Index_Upto_April23 (1'!U84+'All_India_Index_Upto_April23 (1'!W84</f>
        <v>237.60000000000002</v>
      </c>
      <c r="I84">
        <v>114.7</v>
      </c>
      <c r="J84">
        <v>114.6</v>
      </c>
      <c r="K84">
        <v>108.4</v>
      </c>
      <c r="L84">
        <f>'All_India_Index_Upto_April23 (1'!Z84+'All_India_Index_Upto_April23 (1'!AA84+'All_India_Index_Upto_April23 (1'!AB84+'All_India_Index_Upto_April23 (1'!AC84+'All_India_Index_Upto_April23 (1'!AD84</f>
        <v>583</v>
      </c>
      <c r="M84">
        <f t="shared" si="11"/>
        <v>3225.0999999999995</v>
      </c>
      <c r="N84">
        <f t="shared" si="12"/>
        <v>41.48398499271341</v>
      </c>
      <c r="O84">
        <f t="shared" si="13"/>
        <v>7.385817494031194</v>
      </c>
      <c r="P84">
        <f t="shared" si="14"/>
        <v>4.0339834423738807</v>
      </c>
      <c r="Q84">
        <f t="shared" si="15"/>
        <v>11.181048649654276</v>
      </c>
      <c r="R84">
        <f t="shared" si="16"/>
        <v>7.3672134197389241</v>
      </c>
      <c r="S84">
        <f t="shared" si="17"/>
        <v>3.5564788688722837</v>
      </c>
      <c r="T84">
        <f t="shared" si="18"/>
        <v>3.5533781898235715</v>
      </c>
      <c r="U84">
        <f t="shared" si="19"/>
        <v>3.3611360888034487</v>
      </c>
      <c r="V84">
        <f t="shared" si="20"/>
        <v>18.076958853989026</v>
      </c>
      <c r="W84">
        <f t="shared" si="21"/>
        <v>100.00000000000003</v>
      </c>
    </row>
    <row r="85" spans="1:23" x14ac:dyDescent="0.3">
      <c r="A85" t="s">
        <v>33</v>
      </c>
      <c r="B85">
        <v>2015</v>
      </c>
      <c r="C85" t="s">
        <v>36</v>
      </c>
      <c r="D85">
        <f>'All_India_Index_Upto_April23 (1'!D85+'All_India_Index_Upto_April23 (1'!G85+'All_India_Index_Upto_April23 (1'!H85+'All_India_Index_Upto_April23 (1'!I85+'All_India_Index_Upto_April23 (1'!J85+'All_India_Index_Upto_April23 (1'!K85+'All_India_Index_Upto_April23 (1'!L85+'All_India_Index_Upto_April23 (1'!M85+'All_India_Index_Upto_April23 (1'!N85+'All_India_Index_Upto_April23 (1'!O85+'All_India_Index_Upto_April23 (1'!P85</f>
        <v>1334.8999999999999</v>
      </c>
      <c r="E85">
        <f>'All_India_Index_Upto_April23 (1'!E85+'All_India_Index_Upto_April23 (1'!F85</f>
        <v>240.8</v>
      </c>
      <c r="F85">
        <v>126.9</v>
      </c>
      <c r="G85">
        <f>'All_India_Index_Upto_April23 (1'!R85+'All_India_Index_Upto_April23 (1'!S85+'All_India_Index_Upto_April23 (1'!T85</f>
        <v>369.6</v>
      </c>
      <c r="H85">
        <f>'All_India_Index_Upto_April23 (1'!U85+'All_India_Index_Upto_April23 (1'!W85</f>
        <v>238.9</v>
      </c>
      <c r="I85">
        <v>118.7</v>
      </c>
      <c r="J85">
        <v>117.1</v>
      </c>
      <c r="K85">
        <v>110.1</v>
      </c>
      <c r="L85">
        <f>'All_India_Index_Upto_April23 (1'!Z85+'All_India_Index_Upto_April23 (1'!AA85+'All_India_Index_Upto_April23 (1'!AB85+'All_India_Index_Upto_April23 (1'!AC85+'All_India_Index_Upto_April23 (1'!AD85</f>
        <v>584.40000000000009</v>
      </c>
      <c r="M85">
        <f t="shared" si="11"/>
        <v>3241.3999999999996</v>
      </c>
      <c r="N85">
        <f t="shared" si="12"/>
        <v>41.182822237304869</v>
      </c>
      <c r="O85">
        <f t="shared" si="13"/>
        <v>7.4288887517739264</v>
      </c>
      <c r="P85">
        <f t="shared" si="14"/>
        <v>3.9149750107978041</v>
      </c>
      <c r="Q85">
        <f t="shared" si="15"/>
        <v>11.402480409699514</v>
      </c>
      <c r="R85">
        <f t="shared" si="16"/>
        <v>7.3702721046461415</v>
      </c>
      <c r="S85">
        <f t="shared" si="17"/>
        <v>3.6619979021410511</v>
      </c>
      <c r="T85">
        <f t="shared" si="18"/>
        <v>3.612636515086074</v>
      </c>
      <c r="U85">
        <f t="shared" si="19"/>
        <v>3.3966804467205529</v>
      </c>
      <c r="V85">
        <f t="shared" si="20"/>
        <v>18.02924662183008</v>
      </c>
      <c r="W85">
        <f t="shared" si="21"/>
        <v>100.00000000000003</v>
      </c>
    </row>
    <row r="86" spans="1:23" x14ac:dyDescent="0.3">
      <c r="A86" t="s">
        <v>30</v>
      </c>
      <c r="B86">
        <v>2015</v>
      </c>
      <c r="C86" t="s">
        <v>37</v>
      </c>
      <c r="D86">
        <f>'All_India_Index_Upto_April23 (1'!D86+'All_India_Index_Upto_April23 (1'!G86+'All_India_Index_Upto_April23 (1'!H86+'All_India_Index_Upto_April23 (1'!I86+'All_India_Index_Upto_April23 (1'!J86+'All_India_Index_Upto_April23 (1'!K86+'All_India_Index_Upto_April23 (1'!L86+'All_India_Index_Upto_April23 (1'!M86+'All_India_Index_Upto_April23 (1'!N86+'All_India_Index_Upto_April23 (1'!O86+'All_India_Index_Upto_April23 (1'!P86</f>
        <v>1343.3</v>
      </c>
      <c r="E86">
        <f>'All_India_Index_Upto_April23 (1'!E86+'All_India_Index_Upto_April23 (1'!F86</f>
        <v>244.39999999999998</v>
      </c>
      <c r="F86">
        <v>126.7</v>
      </c>
      <c r="G86">
        <f>'All_India_Index_Upto_April23 (1'!R86+'All_India_Index_Upto_April23 (1'!S86+'All_India_Index_Upto_April23 (1'!T86</f>
        <v>378.2</v>
      </c>
      <c r="H86">
        <f>'All_India_Index_Upto_April23 (1'!U86+'All_India_Index_Upto_April23 (1'!W86</f>
        <v>121.5</v>
      </c>
      <c r="I86">
        <v>121.9</v>
      </c>
      <c r="J86">
        <v>119.4</v>
      </c>
      <c r="K86">
        <v>113.3</v>
      </c>
      <c r="L86">
        <f>'All_India_Index_Upto_April23 (1'!Z86+'All_India_Index_Upto_April23 (1'!AA86+'All_India_Index_Upto_April23 (1'!AB86+'All_India_Index_Upto_April23 (1'!AC86+'All_India_Index_Upto_April23 (1'!AD86</f>
        <v>588.79999999999995</v>
      </c>
      <c r="M86">
        <f t="shared" si="11"/>
        <v>3157.5</v>
      </c>
      <c r="N86">
        <f t="shared" si="12"/>
        <v>42.543151227236734</v>
      </c>
      <c r="O86">
        <f t="shared" si="13"/>
        <v>7.7403008709422005</v>
      </c>
      <c r="P86">
        <f t="shared" si="14"/>
        <v>4.0126682501979412</v>
      </c>
      <c r="Q86">
        <f t="shared" si="15"/>
        <v>11.977830562153603</v>
      </c>
      <c r="R86">
        <f t="shared" si="16"/>
        <v>3.847980997624703</v>
      </c>
      <c r="S86">
        <f t="shared" si="17"/>
        <v>3.8606492478226442</v>
      </c>
      <c r="T86">
        <f t="shared" si="18"/>
        <v>3.7814726840855108</v>
      </c>
      <c r="U86">
        <f t="shared" si="19"/>
        <v>3.588281868566904</v>
      </c>
      <c r="V86">
        <f t="shared" si="20"/>
        <v>18.647664291369754</v>
      </c>
      <c r="W86">
        <f t="shared" si="21"/>
        <v>100</v>
      </c>
    </row>
    <row r="87" spans="1:23" x14ac:dyDescent="0.3">
      <c r="A87" t="s">
        <v>32</v>
      </c>
      <c r="B87">
        <v>2015</v>
      </c>
      <c r="C87" t="s">
        <v>37</v>
      </c>
      <c r="D87">
        <f>'All_India_Index_Upto_April23 (1'!D87+'All_India_Index_Upto_April23 (1'!G87+'All_India_Index_Upto_April23 (1'!H87+'All_India_Index_Upto_April23 (1'!I87+'All_India_Index_Upto_April23 (1'!J87+'All_India_Index_Upto_April23 (1'!K87+'All_India_Index_Upto_April23 (1'!L87+'All_India_Index_Upto_April23 (1'!M87+'All_India_Index_Upto_April23 (1'!N87+'All_India_Index_Upto_April23 (1'!O87+'All_India_Index_Upto_April23 (1'!P87</f>
        <v>1357.9</v>
      </c>
      <c r="E87">
        <f>'All_India_Index_Upto_April23 (1'!E87+'All_India_Index_Upto_April23 (1'!F87</f>
        <v>241</v>
      </c>
      <c r="F87">
        <v>131.30000000000001</v>
      </c>
      <c r="G87">
        <f>'All_India_Index_Upto_April23 (1'!R87+'All_India_Index_Upto_April23 (1'!S87+'All_India_Index_Upto_April23 (1'!T87</f>
        <v>361.4</v>
      </c>
      <c r="H87">
        <f>'All_India_Index_Upto_April23 (1'!U87+'All_India_Index_Upto_April23 (1'!W87</f>
        <v>238.3</v>
      </c>
      <c r="I87">
        <v>114.9</v>
      </c>
      <c r="J87">
        <v>114.9</v>
      </c>
      <c r="K87">
        <v>110.8</v>
      </c>
      <c r="L87">
        <f>'All_India_Index_Upto_April23 (1'!Z87+'All_India_Index_Upto_April23 (1'!AA87+'All_India_Index_Upto_April23 (1'!AB87+'All_India_Index_Upto_April23 (1'!AC87+'All_India_Index_Upto_April23 (1'!AD87</f>
        <v>586.29999999999995</v>
      </c>
      <c r="M87">
        <f t="shared" si="11"/>
        <v>3256.8</v>
      </c>
      <c r="N87">
        <f t="shared" si="12"/>
        <v>41.694301154507492</v>
      </c>
      <c r="O87">
        <f t="shared" si="13"/>
        <v>7.3999017440432313</v>
      </c>
      <c r="P87">
        <f t="shared" si="14"/>
        <v>4.0315647261115206</v>
      </c>
      <c r="Q87">
        <f t="shared" si="15"/>
        <v>11.096782117415867</v>
      </c>
      <c r="R87">
        <f t="shared" si="16"/>
        <v>7.3169982805207558</v>
      </c>
      <c r="S87">
        <f t="shared" si="17"/>
        <v>3.5280029476787029</v>
      </c>
      <c r="T87">
        <f t="shared" si="18"/>
        <v>3.5280029476787029</v>
      </c>
      <c r="U87">
        <f t="shared" si="19"/>
        <v>3.4021125030704988</v>
      </c>
      <c r="V87">
        <f t="shared" si="20"/>
        <v>18.002333578973222</v>
      </c>
      <c r="W87">
        <f t="shared" si="21"/>
        <v>99.999999999999986</v>
      </c>
    </row>
    <row r="88" spans="1:23" x14ac:dyDescent="0.3">
      <c r="A88" t="s">
        <v>33</v>
      </c>
      <c r="B88">
        <v>2015</v>
      </c>
      <c r="C88" t="s">
        <v>37</v>
      </c>
      <c r="D88">
        <f>'All_India_Index_Upto_April23 (1'!D88+'All_India_Index_Upto_April23 (1'!G88+'All_India_Index_Upto_April23 (1'!H88+'All_India_Index_Upto_April23 (1'!I88+'All_India_Index_Upto_April23 (1'!J88+'All_India_Index_Upto_April23 (1'!K88+'All_India_Index_Upto_April23 (1'!L88+'All_India_Index_Upto_April23 (1'!M88+'All_India_Index_Upto_April23 (1'!N88+'All_India_Index_Upto_April23 (1'!O88+'All_India_Index_Upto_April23 (1'!P88</f>
        <v>1347.3999999999999</v>
      </c>
      <c r="E88">
        <f>'All_India_Index_Upto_April23 (1'!E88+'All_India_Index_Upto_April23 (1'!F88</f>
        <v>243</v>
      </c>
      <c r="F88">
        <v>127.9</v>
      </c>
      <c r="G88">
        <f>'All_India_Index_Upto_April23 (1'!R88+'All_India_Index_Upto_April23 (1'!S88+'All_India_Index_Upto_April23 (1'!T88</f>
        <v>371.4</v>
      </c>
      <c r="H88">
        <f>'All_India_Index_Upto_April23 (1'!U88+'All_India_Index_Upto_April23 (1'!W88</f>
        <v>239.8</v>
      </c>
      <c r="I88">
        <v>119.2</v>
      </c>
      <c r="J88">
        <v>117.7</v>
      </c>
      <c r="K88">
        <v>112</v>
      </c>
      <c r="L88">
        <f>'All_India_Index_Upto_April23 (1'!Z88+'All_India_Index_Upto_April23 (1'!AA88+'All_India_Index_Upto_April23 (1'!AB88+'All_India_Index_Upto_April23 (1'!AC88+'All_India_Index_Upto_April23 (1'!AD88</f>
        <v>587.70000000000005</v>
      </c>
      <c r="M88">
        <f t="shared" si="11"/>
        <v>3266.0999999999995</v>
      </c>
      <c r="N88">
        <f t="shared" si="12"/>
        <v>41.25409509812927</v>
      </c>
      <c r="O88">
        <f t="shared" si="13"/>
        <v>7.4400661339211913</v>
      </c>
      <c r="P88">
        <f t="shared" si="14"/>
        <v>3.915985426043294</v>
      </c>
      <c r="Q88">
        <f t="shared" si="15"/>
        <v>11.371360338017821</v>
      </c>
      <c r="R88">
        <f t="shared" si="16"/>
        <v>7.3420899543798432</v>
      </c>
      <c r="S88">
        <f t="shared" si="17"/>
        <v>3.6496126879152513</v>
      </c>
      <c r="T88">
        <f t="shared" si="18"/>
        <v>3.6036863537552444</v>
      </c>
      <c r="U88">
        <f t="shared" si="19"/>
        <v>3.4291662839472159</v>
      </c>
      <c r="V88">
        <f t="shared" si="20"/>
        <v>17.99393772389088</v>
      </c>
      <c r="W88">
        <f t="shared" si="21"/>
        <v>100.00000000000001</v>
      </c>
    </row>
    <row r="89" spans="1:23" x14ac:dyDescent="0.3">
      <c r="A89" t="s">
        <v>30</v>
      </c>
      <c r="B89">
        <v>2015</v>
      </c>
      <c r="C89" t="s">
        <v>38</v>
      </c>
      <c r="D89">
        <f>'All_India_Index_Upto_April23 (1'!D89+'All_India_Index_Upto_April23 (1'!G89+'All_India_Index_Upto_April23 (1'!H89+'All_India_Index_Upto_April23 (1'!I89+'All_India_Index_Upto_April23 (1'!J89+'All_India_Index_Upto_April23 (1'!K89+'All_India_Index_Upto_April23 (1'!L89+'All_India_Index_Upto_April23 (1'!M89+'All_India_Index_Upto_April23 (1'!N89+'All_India_Index_Upto_April23 (1'!O89+'All_India_Index_Upto_April23 (1'!P89</f>
        <v>1365.3999999999999</v>
      </c>
      <c r="E89">
        <f>'All_India_Index_Upto_April23 (1'!E89+'All_India_Index_Upto_April23 (1'!F89</f>
        <v>252.5</v>
      </c>
      <c r="F89">
        <v>128.19999999999999</v>
      </c>
      <c r="G89">
        <f>'All_India_Index_Upto_April23 (1'!R89+'All_India_Index_Upto_April23 (1'!S89+'All_India_Index_Upto_April23 (1'!T89</f>
        <v>381.5</v>
      </c>
      <c r="H89">
        <f>'All_India_Index_Upto_April23 (1'!U89+'All_India_Index_Upto_April23 (1'!W89</f>
        <v>122.8</v>
      </c>
      <c r="I89">
        <v>122.6</v>
      </c>
      <c r="J89">
        <v>120.4</v>
      </c>
      <c r="K89">
        <v>114.2</v>
      </c>
      <c r="L89">
        <f>'All_India_Index_Upto_April23 (1'!Z89+'All_India_Index_Upto_April23 (1'!AA89+'All_India_Index_Upto_April23 (1'!AB89+'All_India_Index_Upto_April23 (1'!AC89+'All_India_Index_Upto_April23 (1'!AD89</f>
        <v>594.9</v>
      </c>
      <c r="M89">
        <f t="shared" si="11"/>
        <v>3202.5</v>
      </c>
      <c r="N89">
        <f t="shared" si="12"/>
        <v>42.635441061670562</v>
      </c>
      <c r="O89">
        <f t="shared" si="13"/>
        <v>7.8844652615144426</v>
      </c>
      <c r="P89">
        <f t="shared" si="14"/>
        <v>4.0031225604996088</v>
      </c>
      <c r="Q89">
        <f t="shared" si="15"/>
        <v>11.912568306010929</v>
      </c>
      <c r="R89">
        <f t="shared" si="16"/>
        <v>3.8345042935206868</v>
      </c>
      <c r="S89">
        <f t="shared" si="17"/>
        <v>3.828259172521467</v>
      </c>
      <c r="T89">
        <f t="shared" si="18"/>
        <v>3.7595628415300548</v>
      </c>
      <c r="U89">
        <f t="shared" si="19"/>
        <v>3.5659640905542545</v>
      </c>
      <c r="V89">
        <f t="shared" si="20"/>
        <v>18.576112412177988</v>
      </c>
      <c r="W89">
        <f t="shared" si="21"/>
        <v>100</v>
      </c>
    </row>
    <row r="90" spans="1:23" x14ac:dyDescent="0.3">
      <c r="A90" t="s">
        <v>32</v>
      </c>
      <c r="B90">
        <v>2015</v>
      </c>
      <c r="C90" t="s">
        <v>38</v>
      </c>
      <c r="D90">
        <f>'All_India_Index_Upto_April23 (1'!D90+'All_India_Index_Upto_April23 (1'!G90+'All_India_Index_Upto_April23 (1'!H90+'All_India_Index_Upto_April23 (1'!I90+'All_India_Index_Upto_April23 (1'!J90+'All_India_Index_Upto_April23 (1'!K90+'All_India_Index_Upto_April23 (1'!L90+'All_India_Index_Upto_April23 (1'!M90+'All_India_Index_Upto_April23 (1'!N90+'All_India_Index_Upto_April23 (1'!O90+'All_India_Index_Upto_April23 (1'!P90</f>
        <v>1381.3</v>
      </c>
      <c r="E90">
        <f>'All_India_Index_Upto_April23 (1'!E90+'All_India_Index_Upto_April23 (1'!F90</f>
        <v>255.3</v>
      </c>
      <c r="F90">
        <v>132.1</v>
      </c>
      <c r="G90">
        <f>'All_India_Index_Upto_April23 (1'!R90+'All_India_Index_Upto_April23 (1'!S90+'All_India_Index_Upto_April23 (1'!T90</f>
        <v>363.1</v>
      </c>
      <c r="H90">
        <f>'All_India_Index_Upto_April23 (1'!U90+'All_India_Index_Upto_April23 (1'!W90</f>
        <v>238.2</v>
      </c>
      <c r="I90">
        <v>115.1</v>
      </c>
      <c r="J90">
        <v>115.4</v>
      </c>
      <c r="K90">
        <v>111.7</v>
      </c>
      <c r="L90">
        <f>'All_India_Index_Upto_April23 (1'!Z90+'All_India_Index_Upto_April23 (1'!AA90+'All_India_Index_Upto_April23 (1'!AB90+'All_India_Index_Upto_April23 (1'!AC90+'All_India_Index_Upto_April23 (1'!AD90</f>
        <v>590.20000000000005</v>
      </c>
      <c r="M90">
        <f t="shared" si="11"/>
        <v>3302.3999999999996</v>
      </c>
      <c r="N90">
        <f t="shared" si="12"/>
        <v>41.827156007751945</v>
      </c>
      <c r="O90">
        <f t="shared" si="13"/>
        <v>7.7307412790697683</v>
      </c>
      <c r="P90">
        <f t="shared" si="14"/>
        <v>4.0001211240310077</v>
      </c>
      <c r="Q90">
        <f t="shared" si="15"/>
        <v>10.995033914728685</v>
      </c>
      <c r="R90">
        <f t="shared" si="16"/>
        <v>7.2129360465116283</v>
      </c>
      <c r="S90">
        <f t="shared" si="17"/>
        <v>3.4853439922480618</v>
      </c>
      <c r="T90">
        <f t="shared" si="18"/>
        <v>3.4944282945736442</v>
      </c>
      <c r="U90">
        <f t="shared" si="19"/>
        <v>3.3823885658914734</v>
      </c>
      <c r="V90">
        <f t="shared" si="20"/>
        <v>17.871850775193803</v>
      </c>
      <c r="W90">
        <f t="shared" si="21"/>
        <v>100.00000000000001</v>
      </c>
    </row>
    <row r="91" spans="1:23" x14ac:dyDescent="0.3">
      <c r="A91" t="s">
        <v>33</v>
      </c>
      <c r="B91">
        <v>2015</v>
      </c>
      <c r="C91" t="s">
        <v>38</v>
      </c>
      <c r="D91">
        <f>'All_India_Index_Upto_April23 (1'!D91+'All_India_Index_Upto_April23 (1'!G91+'All_India_Index_Upto_April23 (1'!H91+'All_India_Index_Upto_April23 (1'!I91+'All_India_Index_Upto_April23 (1'!J91+'All_India_Index_Upto_April23 (1'!K91+'All_India_Index_Upto_April23 (1'!L91+'All_India_Index_Upto_April23 (1'!M91+'All_India_Index_Upto_April23 (1'!N91+'All_India_Index_Upto_April23 (1'!O91+'All_India_Index_Upto_April23 (1'!P91</f>
        <v>1370.1000000000001</v>
      </c>
      <c r="E91">
        <f>'All_India_Index_Upto_April23 (1'!E91+'All_India_Index_Upto_April23 (1'!F91</f>
        <v>253.4</v>
      </c>
      <c r="F91">
        <v>129.19999999999999</v>
      </c>
      <c r="G91">
        <f>'All_India_Index_Upto_April23 (1'!R91+'All_India_Index_Upto_April23 (1'!S91+'All_India_Index_Upto_April23 (1'!T91</f>
        <v>374.1</v>
      </c>
      <c r="H91">
        <f>'All_India_Index_Upto_April23 (1'!U91+'All_India_Index_Upto_April23 (1'!W91</f>
        <v>240.1</v>
      </c>
      <c r="I91">
        <v>119.8</v>
      </c>
      <c r="J91">
        <v>118.5</v>
      </c>
      <c r="K91">
        <v>112.9</v>
      </c>
      <c r="L91">
        <f>'All_India_Index_Upto_April23 (1'!Z91+'All_India_Index_Upto_April23 (1'!AA91+'All_India_Index_Upto_April23 (1'!AB91+'All_India_Index_Upto_April23 (1'!AC91+'All_India_Index_Upto_April23 (1'!AD91</f>
        <v>592.79999999999995</v>
      </c>
      <c r="M91">
        <f t="shared" si="11"/>
        <v>3310.9000000000005</v>
      </c>
      <c r="N91">
        <f t="shared" si="12"/>
        <v>41.381497478027121</v>
      </c>
      <c r="O91">
        <f t="shared" si="13"/>
        <v>7.6535081095774542</v>
      </c>
      <c r="P91">
        <f t="shared" si="14"/>
        <v>3.9022622247727194</v>
      </c>
      <c r="Q91">
        <f t="shared" si="15"/>
        <v>11.299042556404602</v>
      </c>
      <c r="R91">
        <f t="shared" si="16"/>
        <v>7.2518046452626166</v>
      </c>
      <c r="S91">
        <f t="shared" si="17"/>
        <v>3.6183515056329085</v>
      </c>
      <c r="T91">
        <f t="shared" si="18"/>
        <v>3.5790872572412327</v>
      </c>
      <c r="U91">
        <f t="shared" si="19"/>
        <v>3.4099489564770908</v>
      </c>
      <c r="V91">
        <f t="shared" si="20"/>
        <v>17.904497266604242</v>
      </c>
      <c r="W91">
        <f t="shared" si="21"/>
        <v>100</v>
      </c>
    </row>
    <row r="92" spans="1:23" x14ac:dyDescent="0.3">
      <c r="A92" t="s">
        <v>30</v>
      </c>
      <c r="B92">
        <v>2015</v>
      </c>
      <c r="C92" t="s">
        <v>39</v>
      </c>
      <c r="D92">
        <f>'All_India_Index_Upto_April23 (1'!D92+'All_India_Index_Upto_April23 (1'!G92+'All_India_Index_Upto_April23 (1'!H92+'All_India_Index_Upto_April23 (1'!I92+'All_India_Index_Upto_April23 (1'!J92+'All_India_Index_Upto_April23 (1'!K92+'All_India_Index_Upto_April23 (1'!L92+'All_India_Index_Upto_April23 (1'!M92+'All_India_Index_Upto_April23 (1'!N92+'All_India_Index_Upto_April23 (1'!O92+'All_India_Index_Upto_April23 (1'!P92</f>
        <v>1371.8</v>
      </c>
      <c r="E92">
        <f>'All_India_Index_Upto_April23 (1'!E92+'All_India_Index_Upto_April23 (1'!F92</f>
        <v>253.5</v>
      </c>
      <c r="F92">
        <v>129.4</v>
      </c>
      <c r="G92">
        <f>'All_India_Index_Upto_April23 (1'!R92+'All_India_Index_Upto_April23 (1'!S92+'All_India_Index_Upto_April23 (1'!T92</f>
        <v>382.6</v>
      </c>
      <c r="H92">
        <f>'All_India_Index_Upto_April23 (1'!U92+'All_India_Index_Upto_April23 (1'!W92</f>
        <v>123</v>
      </c>
      <c r="I92">
        <v>123</v>
      </c>
      <c r="J92">
        <v>120.8</v>
      </c>
      <c r="K92">
        <v>114.1</v>
      </c>
      <c r="L92">
        <f>'All_India_Index_Upto_April23 (1'!Z92+'All_India_Index_Upto_April23 (1'!AA92+'All_India_Index_Upto_April23 (1'!AB92+'All_India_Index_Upto_April23 (1'!AC92+'All_India_Index_Upto_April23 (1'!AD92</f>
        <v>596.40000000000009</v>
      </c>
      <c r="M92">
        <f t="shared" si="11"/>
        <v>3214.6000000000004</v>
      </c>
      <c r="N92">
        <f t="shared" si="12"/>
        <v>42.674049648478807</v>
      </c>
      <c r="O92">
        <f t="shared" si="13"/>
        <v>7.8858956013189818</v>
      </c>
      <c r="P92">
        <f t="shared" si="14"/>
        <v>4.0253841846574998</v>
      </c>
      <c r="Q92">
        <f t="shared" si="15"/>
        <v>11.901947365146519</v>
      </c>
      <c r="R92">
        <f t="shared" si="16"/>
        <v>3.8262925402849493</v>
      </c>
      <c r="S92">
        <f t="shared" si="17"/>
        <v>3.8262925402849493</v>
      </c>
      <c r="T92">
        <f t="shared" si="18"/>
        <v>3.7578547875318855</v>
      </c>
      <c r="U92">
        <f t="shared" si="19"/>
        <v>3.549430722329372</v>
      </c>
      <c r="V92">
        <f t="shared" si="20"/>
        <v>18.552852609967026</v>
      </c>
      <c r="W92">
        <f t="shared" si="21"/>
        <v>100</v>
      </c>
    </row>
    <row r="93" spans="1:23" x14ac:dyDescent="0.3">
      <c r="A93" t="s">
        <v>32</v>
      </c>
      <c r="B93">
        <v>2015</v>
      </c>
      <c r="C93" t="s">
        <v>39</v>
      </c>
      <c r="D93">
        <f>'All_India_Index_Upto_April23 (1'!D93+'All_India_Index_Upto_April23 (1'!G93+'All_India_Index_Upto_April23 (1'!H93+'All_India_Index_Upto_April23 (1'!I93+'All_India_Index_Upto_April23 (1'!J93+'All_India_Index_Upto_April23 (1'!K93+'All_India_Index_Upto_April23 (1'!L93+'All_India_Index_Upto_April23 (1'!M93+'All_India_Index_Upto_April23 (1'!N93+'All_India_Index_Upto_April23 (1'!O93+'All_India_Index_Upto_April23 (1'!P93</f>
        <v>1389.1</v>
      </c>
      <c r="E93">
        <f>'All_India_Index_Upto_April23 (1'!E93+'All_India_Index_Upto_April23 (1'!F93</f>
        <v>253.8</v>
      </c>
      <c r="F93">
        <v>133.1</v>
      </c>
      <c r="G93">
        <f>'All_India_Index_Upto_April23 (1'!R93+'All_India_Index_Upto_April23 (1'!S93+'All_India_Index_Upto_April23 (1'!T93</f>
        <v>364.1</v>
      </c>
      <c r="H93">
        <f>'All_India_Index_Upto_April23 (1'!U93+'All_India_Index_Upto_April23 (1'!W93</f>
        <v>239.4</v>
      </c>
      <c r="I93">
        <v>115.3</v>
      </c>
      <c r="J93">
        <v>116</v>
      </c>
      <c r="K93">
        <v>111.5</v>
      </c>
      <c r="L93">
        <f>'All_India_Index_Upto_April23 (1'!Z93+'All_India_Index_Upto_April23 (1'!AA93+'All_India_Index_Upto_April23 (1'!AB93+'All_India_Index_Upto_April23 (1'!AC93+'All_India_Index_Upto_April23 (1'!AD93</f>
        <v>592.4</v>
      </c>
      <c r="M93">
        <f t="shared" si="11"/>
        <v>3314.7000000000003</v>
      </c>
      <c r="N93">
        <f t="shared" si="12"/>
        <v>41.907261592300955</v>
      </c>
      <c r="O93">
        <f t="shared" si="13"/>
        <v>7.6568015204995925</v>
      </c>
      <c r="P93">
        <f t="shared" si="14"/>
        <v>4.0154463450689351</v>
      </c>
      <c r="Q93">
        <f t="shared" si="15"/>
        <v>10.9844028117175</v>
      </c>
      <c r="R93">
        <f t="shared" si="16"/>
        <v>7.2223730654357858</v>
      </c>
      <c r="S93">
        <f t="shared" si="17"/>
        <v>3.4784445047817294</v>
      </c>
      <c r="T93">
        <f t="shared" si="18"/>
        <v>3.4995625546806646</v>
      </c>
      <c r="U93">
        <f t="shared" si="19"/>
        <v>3.3638036624732246</v>
      </c>
      <c r="V93">
        <f t="shared" si="20"/>
        <v>17.871903943041602</v>
      </c>
      <c r="W93">
        <f t="shared" si="21"/>
        <v>100</v>
      </c>
    </row>
    <row r="94" spans="1:23" x14ac:dyDescent="0.3">
      <c r="A94" t="s">
        <v>33</v>
      </c>
      <c r="B94">
        <v>2015</v>
      </c>
      <c r="C94" t="s">
        <v>39</v>
      </c>
      <c r="D94">
        <f>'All_India_Index_Upto_April23 (1'!D94+'All_India_Index_Upto_April23 (1'!G94+'All_India_Index_Upto_April23 (1'!H94+'All_India_Index_Upto_April23 (1'!I94+'All_India_Index_Upto_April23 (1'!J94+'All_India_Index_Upto_April23 (1'!K94+'All_India_Index_Upto_April23 (1'!L94+'All_India_Index_Upto_April23 (1'!M94+'All_India_Index_Upto_April23 (1'!N94+'All_India_Index_Upto_April23 (1'!O94+'All_India_Index_Upto_April23 (1'!P94</f>
        <v>1377.1000000000001</v>
      </c>
      <c r="E94">
        <f>'All_India_Index_Upto_April23 (1'!E94+'All_India_Index_Upto_April23 (1'!F94</f>
        <v>253.5</v>
      </c>
      <c r="F94">
        <v>130.4</v>
      </c>
      <c r="G94">
        <f>'All_India_Index_Upto_April23 (1'!R94+'All_India_Index_Upto_April23 (1'!S94+'All_India_Index_Upto_April23 (1'!T94</f>
        <v>375.1</v>
      </c>
      <c r="H94">
        <f>'All_India_Index_Upto_April23 (1'!U94+'All_India_Index_Upto_April23 (1'!W94</f>
        <v>241.2</v>
      </c>
      <c r="I94">
        <v>120.1</v>
      </c>
      <c r="J94">
        <v>119</v>
      </c>
      <c r="K94">
        <v>112.7</v>
      </c>
      <c r="L94">
        <f>'All_India_Index_Upto_April23 (1'!Z94+'All_India_Index_Upto_April23 (1'!AA94+'All_India_Index_Upto_April23 (1'!AB94+'All_India_Index_Upto_April23 (1'!AC94+'All_India_Index_Upto_April23 (1'!AD94</f>
        <v>594.70000000000005</v>
      </c>
      <c r="M94">
        <f t="shared" si="11"/>
        <v>3323.8</v>
      </c>
      <c r="N94">
        <f t="shared" si="12"/>
        <v>41.431494073048924</v>
      </c>
      <c r="O94">
        <f t="shared" si="13"/>
        <v>7.6268126842770316</v>
      </c>
      <c r="P94">
        <f t="shared" si="14"/>
        <v>3.9232204103736685</v>
      </c>
      <c r="Q94">
        <f t="shared" si="15"/>
        <v>11.285275889042662</v>
      </c>
      <c r="R94">
        <f t="shared" si="16"/>
        <v>7.2567543173476139</v>
      </c>
      <c r="S94">
        <f t="shared" si="17"/>
        <v>3.6133341356278956</v>
      </c>
      <c r="T94">
        <f t="shared" si="18"/>
        <v>3.5802394849268908</v>
      </c>
      <c r="U94">
        <f t="shared" si="19"/>
        <v>3.3906973945484085</v>
      </c>
      <c r="V94">
        <f t="shared" si="20"/>
        <v>17.892171610806908</v>
      </c>
      <c r="W94">
        <f t="shared" si="21"/>
        <v>100.00000000000001</v>
      </c>
    </row>
    <row r="95" spans="1:23" x14ac:dyDescent="0.3">
      <c r="A95" t="s">
        <v>30</v>
      </c>
      <c r="B95">
        <v>2015</v>
      </c>
      <c r="C95" t="s">
        <v>40</v>
      </c>
      <c r="D95">
        <f>'All_India_Index_Upto_April23 (1'!D95+'All_India_Index_Upto_April23 (1'!G95+'All_India_Index_Upto_April23 (1'!H95+'All_India_Index_Upto_April23 (1'!I95+'All_India_Index_Upto_April23 (1'!J95+'All_India_Index_Upto_April23 (1'!K95+'All_India_Index_Upto_April23 (1'!L95+'All_India_Index_Upto_April23 (1'!M95+'All_India_Index_Upto_April23 (1'!N95+'All_India_Index_Upto_April23 (1'!O95+'All_India_Index_Upto_April23 (1'!P95</f>
        <v>1393.9999999999998</v>
      </c>
      <c r="E95">
        <f>'All_India_Index_Upto_April23 (1'!E95+'All_India_Index_Upto_April23 (1'!F95</f>
        <v>252.60000000000002</v>
      </c>
      <c r="F95">
        <v>130.1</v>
      </c>
      <c r="G95">
        <f>'All_India_Index_Upto_April23 (1'!R95+'All_India_Index_Upto_April23 (1'!S95+'All_India_Index_Upto_April23 (1'!T95</f>
        <v>384.8</v>
      </c>
      <c r="H95">
        <f>'All_India_Index_Upto_April23 (1'!U95+'All_India_Index_Upto_April23 (1'!W95</f>
        <v>123.7</v>
      </c>
      <c r="I95">
        <v>123.8</v>
      </c>
      <c r="J95">
        <v>121.1</v>
      </c>
      <c r="K95">
        <v>113.6</v>
      </c>
      <c r="L95">
        <f>'All_India_Index_Upto_April23 (1'!Z95+'All_India_Index_Upto_April23 (1'!AA95+'All_India_Index_Upto_April23 (1'!AB95+'All_India_Index_Upto_April23 (1'!AC95+'All_India_Index_Upto_April23 (1'!AD95</f>
        <v>598.9</v>
      </c>
      <c r="M95">
        <f t="shared" si="11"/>
        <v>3242.6</v>
      </c>
      <c r="N95">
        <f t="shared" si="12"/>
        <v>42.990193054955895</v>
      </c>
      <c r="O95">
        <f t="shared" si="13"/>
        <v>7.7900450255967435</v>
      </c>
      <c r="P95">
        <f t="shared" si="14"/>
        <v>4.0122124221303892</v>
      </c>
      <c r="Q95">
        <f t="shared" si="15"/>
        <v>11.867020292357985</v>
      </c>
      <c r="R95">
        <f t="shared" si="16"/>
        <v>3.8148399432554125</v>
      </c>
      <c r="S95">
        <f t="shared" si="17"/>
        <v>3.8179238882378339</v>
      </c>
      <c r="T95">
        <f t="shared" si="18"/>
        <v>3.7346573737124529</v>
      </c>
      <c r="U95">
        <f t="shared" si="19"/>
        <v>3.5033615000308398</v>
      </c>
      <c r="V95">
        <f t="shared" si="20"/>
        <v>18.469746499722444</v>
      </c>
      <c r="W95">
        <f t="shared" si="21"/>
        <v>99.999999999999986</v>
      </c>
    </row>
    <row r="96" spans="1:23" x14ac:dyDescent="0.3">
      <c r="A96" t="s">
        <v>32</v>
      </c>
      <c r="B96">
        <v>2015</v>
      </c>
      <c r="C96" t="s">
        <v>40</v>
      </c>
      <c r="D96">
        <f>'All_India_Index_Upto_April23 (1'!D96+'All_India_Index_Upto_April23 (1'!G96+'All_India_Index_Upto_April23 (1'!H96+'All_India_Index_Upto_April23 (1'!I96+'All_India_Index_Upto_April23 (1'!J96+'All_India_Index_Upto_April23 (1'!K96+'All_India_Index_Upto_April23 (1'!L96+'All_India_Index_Upto_April23 (1'!M96+'All_India_Index_Upto_April23 (1'!N96+'All_India_Index_Upto_April23 (1'!O96+'All_India_Index_Upto_April23 (1'!P96</f>
        <v>1409.1</v>
      </c>
      <c r="E96">
        <f>'All_India_Index_Upto_April23 (1'!E96+'All_India_Index_Upto_April23 (1'!F96</f>
        <v>249.79999999999998</v>
      </c>
      <c r="F96">
        <v>134.19999999999999</v>
      </c>
      <c r="G96">
        <f>'All_India_Index_Upto_April23 (1'!R96+'All_India_Index_Upto_April23 (1'!S96+'All_India_Index_Upto_April23 (1'!T96</f>
        <v>364.8</v>
      </c>
      <c r="H96">
        <f>'All_India_Index_Upto_April23 (1'!U96+'All_India_Index_Upto_April23 (1'!W96</f>
        <v>240.9</v>
      </c>
      <c r="I96">
        <v>115.3</v>
      </c>
      <c r="J96">
        <v>116.6</v>
      </c>
      <c r="K96">
        <v>109.9</v>
      </c>
      <c r="L96">
        <f>'All_India_Index_Upto_April23 (1'!Z96+'All_India_Index_Upto_April23 (1'!AA96+'All_India_Index_Upto_April23 (1'!AB96+'All_India_Index_Upto_April23 (1'!AC96+'All_India_Index_Upto_April23 (1'!AD96</f>
        <v>594.79999999999995</v>
      </c>
      <c r="M96">
        <f t="shared" si="11"/>
        <v>3335.4000000000005</v>
      </c>
      <c r="N96">
        <f t="shared" si="12"/>
        <v>42.246806979672591</v>
      </c>
      <c r="O96">
        <f t="shared" si="13"/>
        <v>7.4893565989086754</v>
      </c>
      <c r="P96">
        <f t="shared" si="14"/>
        <v>4.0235054266354844</v>
      </c>
      <c r="Q96">
        <f t="shared" si="15"/>
        <v>10.937218924266952</v>
      </c>
      <c r="R96">
        <f t="shared" si="16"/>
        <v>7.2225220363374696</v>
      </c>
      <c r="S96">
        <f t="shared" si="17"/>
        <v>3.4568567488157336</v>
      </c>
      <c r="T96">
        <f t="shared" si="18"/>
        <v>3.4958325837980446</v>
      </c>
      <c r="U96">
        <f t="shared" si="19"/>
        <v>3.2949571265815192</v>
      </c>
      <c r="V96">
        <f t="shared" si="20"/>
        <v>17.832943574983506</v>
      </c>
      <c r="W96">
        <f t="shared" si="21"/>
        <v>99.999999999999986</v>
      </c>
    </row>
    <row r="97" spans="1:23" x14ac:dyDescent="0.3">
      <c r="A97" t="s">
        <v>33</v>
      </c>
      <c r="B97">
        <v>2015</v>
      </c>
      <c r="C97" t="s">
        <v>40</v>
      </c>
      <c r="D97">
        <f>'All_India_Index_Upto_April23 (1'!D97+'All_India_Index_Upto_April23 (1'!G97+'All_India_Index_Upto_April23 (1'!H97+'All_India_Index_Upto_April23 (1'!I97+'All_India_Index_Upto_April23 (1'!J97+'All_India_Index_Upto_April23 (1'!K97+'All_India_Index_Upto_April23 (1'!L97+'All_India_Index_Upto_April23 (1'!M97+'All_India_Index_Upto_April23 (1'!N97+'All_India_Index_Upto_April23 (1'!O97+'All_India_Index_Upto_April23 (1'!P97</f>
        <v>1398.1</v>
      </c>
      <c r="E97">
        <f>'All_India_Index_Upto_April23 (1'!E97+'All_India_Index_Upto_April23 (1'!F97</f>
        <v>251.5</v>
      </c>
      <c r="F97">
        <v>131.19999999999999</v>
      </c>
      <c r="G97">
        <f>'All_India_Index_Upto_April23 (1'!R97+'All_India_Index_Upto_April23 (1'!S97+'All_India_Index_Upto_April23 (1'!T97</f>
        <v>376.70000000000005</v>
      </c>
      <c r="H97">
        <f>'All_India_Index_Upto_April23 (1'!U97+'All_India_Index_Upto_April23 (1'!W97</f>
        <v>242.9</v>
      </c>
      <c r="I97">
        <v>120.6</v>
      </c>
      <c r="J97">
        <v>119.4</v>
      </c>
      <c r="K97">
        <v>111.7</v>
      </c>
      <c r="L97">
        <f>'All_India_Index_Upto_April23 (1'!Z97+'All_India_Index_Upto_April23 (1'!AA97+'All_India_Index_Upto_April23 (1'!AB97+'All_India_Index_Upto_April23 (1'!AC97+'All_India_Index_Upto_April23 (1'!AD97</f>
        <v>597.19999999999993</v>
      </c>
      <c r="M97">
        <f t="shared" si="11"/>
        <v>3349.2999999999997</v>
      </c>
      <c r="N97">
        <f t="shared" si="12"/>
        <v>41.743050786731558</v>
      </c>
      <c r="O97">
        <f t="shared" si="13"/>
        <v>7.5090317379750999</v>
      </c>
      <c r="P97">
        <f t="shared" si="14"/>
        <v>3.917236437464545</v>
      </c>
      <c r="Q97">
        <f t="shared" si="15"/>
        <v>11.247126265189742</v>
      </c>
      <c r="R97">
        <f t="shared" si="16"/>
        <v>7.2522616666169064</v>
      </c>
      <c r="S97">
        <f t="shared" si="17"/>
        <v>3.6007523960230499</v>
      </c>
      <c r="T97">
        <f t="shared" si="18"/>
        <v>3.5649240139730698</v>
      </c>
      <c r="U97">
        <f t="shared" si="19"/>
        <v>3.335025229152361</v>
      </c>
      <c r="V97">
        <f t="shared" si="20"/>
        <v>17.830591466873674</v>
      </c>
      <c r="W97">
        <f t="shared" si="21"/>
        <v>100.00000000000001</v>
      </c>
    </row>
    <row r="98" spans="1:23" x14ac:dyDescent="0.3">
      <c r="A98" t="s">
        <v>30</v>
      </c>
      <c r="B98">
        <v>2015</v>
      </c>
      <c r="C98" t="s">
        <v>41</v>
      </c>
      <c r="D98">
        <f>'All_India_Index_Upto_April23 (1'!D98+'All_India_Index_Upto_April23 (1'!G98+'All_India_Index_Upto_April23 (1'!H98+'All_India_Index_Upto_April23 (1'!I98+'All_India_Index_Upto_April23 (1'!J98+'All_India_Index_Upto_April23 (1'!K98+'All_India_Index_Upto_April23 (1'!L98+'All_India_Index_Upto_April23 (1'!M98+'All_India_Index_Upto_April23 (1'!N98+'All_India_Index_Upto_April23 (1'!O98+'All_India_Index_Upto_April23 (1'!P98</f>
        <v>1405.8000000000002</v>
      </c>
      <c r="E98">
        <f>'All_India_Index_Upto_April23 (1'!E98+'All_India_Index_Upto_April23 (1'!F98</f>
        <v>251.8</v>
      </c>
      <c r="F98">
        <v>131</v>
      </c>
      <c r="G98">
        <f>'All_India_Index_Upto_April23 (1'!R98+'All_India_Index_Upto_April23 (1'!S98+'All_India_Index_Upto_April23 (1'!T98</f>
        <v>387.1</v>
      </c>
      <c r="H98">
        <f>'All_India_Index_Upto_April23 (1'!U98+'All_India_Index_Upto_April23 (1'!W98</f>
        <v>124.5</v>
      </c>
      <c r="I98">
        <v>123.7</v>
      </c>
      <c r="J98">
        <v>121.4</v>
      </c>
      <c r="K98">
        <v>113.8</v>
      </c>
      <c r="L98">
        <f>'All_India_Index_Upto_April23 (1'!Z98+'All_India_Index_Upto_April23 (1'!AA98+'All_India_Index_Upto_April23 (1'!AB98+'All_India_Index_Upto_April23 (1'!AC98+'All_India_Index_Upto_April23 (1'!AD98</f>
        <v>603.6</v>
      </c>
      <c r="M98">
        <f t="shared" si="11"/>
        <v>3262.7000000000003</v>
      </c>
      <c r="N98">
        <f t="shared" si="12"/>
        <v>43.087013822907409</v>
      </c>
      <c r="O98">
        <f t="shared" si="13"/>
        <v>7.7175345572685199</v>
      </c>
      <c r="P98">
        <f t="shared" si="14"/>
        <v>4.015079535354154</v>
      </c>
      <c r="Q98">
        <f t="shared" si="15"/>
        <v>11.864406779661017</v>
      </c>
      <c r="R98">
        <f t="shared" si="16"/>
        <v>3.8158580316915436</v>
      </c>
      <c r="S98">
        <f t="shared" si="17"/>
        <v>3.7913384620099917</v>
      </c>
      <c r="T98">
        <f t="shared" si="18"/>
        <v>3.7208446991755295</v>
      </c>
      <c r="U98">
        <f t="shared" si="19"/>
        <v>3.4879087872007846</v>
      </c>
      <c r="V98">
        <f t="shared" si="20"/>
        <v>18.500015324731052</v>
      </c>
      <c r="W98">
        <f t="shared" si="21"/>
        <v>100</v>
      </c>
    </row>
    <row r="99" spans="1:23" x14ac:dyDescent="0.3">
      <c r="A99" t="s">
        <v>32</v>
      </c>
      <c r="B99">
        <v>2015</v>
      </c>
      <c r="C99" t="s">
        <v>41</v>
      </c>
      <c r="D99">
        <f>'All_India_Index_Upto_April23 (1'!D99+'All_India_Index_Upto_April23 (1'!G99+'All_India_Index_Upto_April23 (1'!H99+'All_India_Index_Upto_April23 (1'!I99+'All_India_Index_Upto_April23 (1'!J99+'All_India_Index_Upto_April23 (1'!K99+'All_India_Index_Upto_April23 (1'!L99+'All_India_Index_Upto_April23 (1'!M99+'All_India_Index_Upto_April23 (1'!N99+'All_India_Index_Upto_April23 (1'!O99+'All_India_Index_Upto_April23 (1'!P99</f>
        <v>1420.1999999999998</v>
      </c>
      <c r="E99">
        <f>'All_India_Index_Upto_April23 (1'!E99+'All_India_Index_Upto_April23 (1'!F99</f>
        <v>244.6</v>
      </c>
      <c r="F99">
        <v>134.69999999999999</v>
      </c>
      <c r="G99">
        <f>'All_India_Index_Upto_April23 (1'!R99+'All_India_Index_Upto_April23 (1'!S99+'All_India_Index_Upto_April23 (1'!T99</f>
        <v>365.8</v>
      </c>
      <c r="H99">
        <f>'All_India_Index_Upto_April23 (1'!U99+'All_India_Index_Upto_April23 (1'!W99</f>
        <v>242</v>
      </c>
      <c r="I99">
        <v>115.1</v>
      </c>
      <c r="J99">
        <v>117.1</v>
      </c>
      <c r="K99">
        <v>109.1</v>
      </c>
      <c r="L99">
        <f>'All_India_Index_Upto_April23 (1'!Z99+'All_India_Index_Upto_April23 (1'!AA99+'All_India_Index_Upto_April23 (1'!AB99+'All_India_Index_Upto_April23 (1'!AC99+'All_India_Index_Upto_April23 (1'!AD99</f>
        <v>596.40000000000009</v>
      </c>
      <c r="M99">
        <f t="shared" si="11"/>
        <v>3344.9999999999995</v>
      </c>
      <c r="N99">
        <f t="shared" si="12"/>
        <v>42.457399103139018</v>
      </c>
      <c r="O99">
        <f t="shared" si="13"/>
        <v>7.3124065769805693</v>
      </c>
      <c r="P99">
        <f t="shared" si="14"/>
        <v>4.0269058295964122</v>
      </c>
      <c r="Q99">
        <f t="shared" si="15"/>
        <v>10.935724962630793</v>
      </c>
      <c r="R99">
        <f t="shared" si="16"/>
        <v>7.2346786248131556</v>
      </c>
      <c r="S99">
        <f t="shared" si="17"/>
        <v>3.4409566517189836</v>
      </c>
      <c r="T99">
        <f t="shared" si="18"/>
        <v>3.5007473841554559</v>
      </c>
      <c r="U99">
        <f t="shared" si="19"/>
        <v>3.2615844544095669</v>
      </c>
      <c r="V99">
        <f t="shared" si="20"/>
        <v>17.829596412556057</v>
      </c>
      <c r="W99">
        <f t="shared" si="21"/>
        <v>100.00000000000001</v>
      </c>
    </row>
    <row r="100" spans="1:23" x14ac:dyDescent="0.3">
      <c r="A100" t="s">
        <v>33</v>
      </c>
      <c r="B100">
        <v>2015</v>
      </c>
      <c r="C100" t="s">
        <v>41</v>
      </c>
      <c r="D100">
        <f>'All_India_Index_Upto_April23 (1'!D100+'All_India_Index_Upto_April23 (1'!G100+'All_India_Index_Upto_April23 (1'!H100+'All_India_Index_Upto_April23 (1'!I100+'All_India_Index_Upto_April23 (1'!J100+'All_India_Index_Upto_April23 (1'!K100+'All_India_Index_Upto_April23 (1'!L100+'All_India_Index_Upto_April23 (1'!M100+'All_India_Index_Upto_April23 (1'!N100+'All_India_Index_Upto_April23 (1'!O100+'All_India_Index_Upto_April23 (1'!P100</f>
        <v>1409.2</v>
      </c>
      <c r="E100">
        <f>'All_India_Index_Upto_April23 (1'!E100+'All_India_Index_Upto_April23 (1'!F100</f>
        <v>249.10000000000002</v>
      </c>
      <c r="F100">
        <v>132</v>
      </c>
      <c r="G100">
        <f>'All_India_Index_Upto_April23 (1'!R100+'All_India_Index_Upto_April23 (1'!S100+'All_India_Index_Upto_April23 (1'!T100</f>
        <v>378.5</v>
      </c>
      <c r="H100">
        <f>'All_India_Index_Upto_April23 (1'!U100+'All_India_Index_Upto_April23 (1'!W100</f>
        <v>244.2</v>
      </c>
      <c r="I100">
        <v>120.4</v>
      </c>
      <c r="J100">
        <v>119.8</v>
      </c>
      <c r="K100">
        <v>111.3</v>
      </c>
      <c r="L100">
        <f>'All_India_Index_Upto_April23 (1'!Z100+'All_India_Index_Upto_April23 (1'!AA100+'All_India_Index_Upto_April23 (1'!AB100+'All_India_Index_Upto_April23 (1'!AC100+'All_India_Index_Upto_April23 (1'!AD100</f>
        <v>600.29999999999995</v>
      </c>
      <c r="M100">
        <f t="shared" si="11"/>
        <v>3364.8</v>
      </c>
      <c r="N100">
        <f t="shared" si="12"/>
        <v>41.880646695197335</v>
      </c>
      <c r="O100">
        <f t="shared" si="13"/>
        <v>7.4031145981930582</v>
      </c>
      <c r="P100">
        <f t="shared" si="14"/>
        <v>3.9229671897289582</v>
      </c>
      <c r="Q100">
        <f t="shared" si="15"/>
        <v>11.248811222063718</v>
      </c>
      <c r="R100">
        <f t="shared" si="16"/>
        <v>7.2574893009985724</v>
      </c>
      <c r="S100">
        <f t="shared" si="17"/>
        <v>3.5782215882073225</v>
      </c>
      <c r="T100">
        <f t="shared" si="18"/>
        <v>3.5603899191630997</v>
      </c>
      <c r="U100">
        <f t="shared" si="19"/>
        <v>3.3077746077032808</v>
      </c>
      <c r="V100">
        <f t="shared" si="20"/>
        <v>17.840584878744647</v>
      </c>
      <c r="W100">
        <f t="shared" si="21"/>
        <v>100</v>
      </c>
    </row>
    <row r="101" spans="1:23" x14ac:dyDescent="0.3">
      <c r="A101" t="s">
        <v>30</v>
      </c>
      <c r="B101">
        <v>2015</v>
      </c>
      <c r="C101" t="s">
        <v>42</v>
      </c>
      <c r="D101">
        <f>'All_India_Index_Upto_April23 (1'!D101+'All_India_Index_Upto_April23 (1'!G101+'All_India_Index_Upto_April23 (1'!H101+'All_India_Index_Upto_April23 (1'!I101+'All_India_Index_Upto_April23 (1'!J101+'All_India_Index_Upto_April23 (1'!K101+'All_India_Index_Upto_April23 (1'!L101+'All_India_Index_Upto_April23 (1'!M101+'All_India_Index_Upto_April23 (1'!N101+'All_India_Index_Upto_April23 (1'!O101+'All_India_Index_Upto_April23 (1'!P101</f>
        <v>1423.3999999999999</v>
      </c>
      <c r="E101">
        <f>'All_India_Index_Upto_April23 (1'!E101+'All_India_Index_Upto_April23 (1'!F101</f>
        <v>251.2</v>
      </c>
      <c r="F101">
        <v>131.5</v>
      </c>
      <c r="G101">
        <f>'All_India_Index_Upto_April23 (1'!R101+'All_India_Index_Upto_April23 (1'!S101+'All_India_Index_Upto_April23 (1'!T101</f>
        <v>389</v>
      </c>
      <c r="H101">
        <f>'All_India_Index_Upto_April23 (1'!U101+'All_India_Index_Upto_April23 (1'!W101</f>
        <v>125.1</v>
      </c>
      <c r="I101">
        <v>124.4</v>
      </c>
      <c r="J101">
        <v>122</v>
      </c>
      <c r="K101">
        <v>113.8</v>
      </c>
      <c r="L101">
        <f>'All_India_Index_Upto_April23 (1'!Z101+'All_India_Index_Upto_April23 (1'!AA101+'All_India_Index_Upto_April23 (1'!AB101+'All_India_Index_Upto_April23 (1'!AC101+'All_India_Index_Upto_April23 (1'!AD101</f>
        <v>606.29999999999995</v>
      </c>
      <c r="M101">
        <f t="shared" si="11"/>
        <v>3286.7</v>
      </c>
      <c r="N101">
        <f t="shared" si="12"/>
        <v>43.307877202056773</v>
      </c>
      <c r="O101">
        <f t="shared" si="13"/>
        <v>7.6429245139501623</v>
      </c>
      <c r="P101">
        <f t="shared" si="14"/>
        <v>4.0009736209571916</v>
      </c>
      <c r="Q101">
        <f t="shared" si="15"/>
        <v>11.835579760854353</v>
      </c>
      <c r="R101">
        <f t="shared" si="16"/>
        <v>3.8062494295189699</v>
      </c>
      <c r="S101">
        <f t="shared" si="17"/>
        <v>3.7849514710804151</v>
      </c>
      <c r="T101">
        <f t="shared" si="18"/>
        <v>3.7119298992910825</v>
      </c>
      <c r="U101">
        <f t="shared" si="19"/>
        <v>3.462439529010862</v>
      </c>
      <c r="V101">
        <f t="shared" si="20"/>
        <v>18.44707457328019</v>
      </c>
      <c r="W101">
        <f t="shared" si="21"/>
        <v>100</v>
      </c>
    </row>
    <row r="102" spans="1:23" x14ac:dyDescent="0.3">
      <c r="A102" t="s">
        <v>32</v>
      </c>
      <c r="B102">
        <v>2015</v>
      </c>
      <c r="C102" t="s">
        <v>42</v>
      </c>
      <c r="D102">
        <f>'All_India_Index_Upto_April23 (1'!D102+'All_India_Index_Upto_April23 (1'!G102+'All_India_Index_Upto_April23 (1'!H102+'All_India_Index_Upto_April23 (1'!I102+'All_India_Index_Upto_April23 (1'!J102+'All_India_Index_Upto_April23 (1'!K102+'All_India_Index_Upto_April23 (1'!L102+'All_India_Index_Upto_April23 (1'!M102+'All_India_Index_Upto_April23 (1'!N102+'All_India_Index_Upto_April23 (1'!O102+'All_India_Index_Upto_April23 (1'!P102</f>
        <v>1448.3000000000002</v>
      </c>
      <c r="E102">
        <f>'All_India_Index_Upto_April23 (1'!E102+'All_India_Index_Upto_April23 (1'!F102</f>
        <v>244.5</v>
      </c>
      <c r="F102">
        <v>135.30000000000001</v>
      </c>
      <c r="G102">
        <f>'All_India_Index_Upto_April23 (1'!R102+'All_India_Index_Upto_April23 (1'!S102+'All_India_Index_Upto_April23 (1'!T102</f>
        <v>366.79999999999995</v>
      </c>
      <c r="H102">
        <f>'All_India_Index_Upto_April23 (1'!U102+'All_India_Index_Upto_April23 (1'!W102</f>
        <v>243.10000000000002</v>
      </c>
      <c r="I102">
        <v>114.9</v>
      </c>
      <c r="J102">
        <v>117.7</v>
      </c>
      <c r="K102">
        <v>109.3</v>
      </c>
      <c r="L102">
        <f>'All_India_Index_Upto_April23 (1'!Z102+'All_India_Index_Upto_April23 (1'!AA102+'All_India_Index_Upto_April23 (1'!AB102+'All_India_Index_Upto_April23 (1'!AC102+'All_India_Index_Upto_April23 (1'!AD102</f>
        <v>598.4</v>
      </c>
      <c r="M102">
        <f t="shared" si="11"/>
        <v>3378.3</v>
      </c>
      <c r="N102">
        <f t="shared" si="12"/>
        <v>42.870674599650712</v>
      </c>
      <c r="O102">
        <f t="shared" si="13"/>
        <v>7.2373679069354404</v>
      </c>
      <c r="P102">
        <f t="shared" si="14"/>
        <v>4.0049729153716367</v>
      </c>
      <c r="Q102">
        <f t="shared" si="15"/>
        <v>10.857531894739957</v>
      </c>
      <c r="R102">
        <f t="shared" si="16"/>
        <v>7.1959269455051365</v>
      </c>
      <c r="S102">
        <f t="shared" si="17"/>
        <v>3.4011189059586182</v>
      </c>
      <c r="T102">
        <f t="shared" si="18"/>
        <v>3.4840008288192288</v>
      </c>
      <c r="U102">
        <f t="shared" si="19"/>
        <v>3.2353550602373971</v>
      </c>
      <c r="V102">
        <f t="shared" si="20"/>
        <v>17.713050942781873</v>
      </c>
      <c r="W102">
        <f t="shared" si="21"/>
        <v>100</v>
      </c>
    </row>
    <row r="103" spans="1:23" x14ac:dyDescent="0.3">
      <c r="A103" t="s">
        <v>33</v>
      </c>
      <c r="B103">
        <v>2015</v>
      </c>
      <c r="C103" t="s">
        <v>42</v>
      </c>
      <c r="D103">
        <f>'All_India_Index_Upto_April23 (1'!D103+'All_India_Index_Upto_April23 (1'!G103+'All_India_Index_Upto_April23 (1'!H103+'All_India_Index_Upto_April23 (1'!I103+'All_India_Index_Upto_April23 (1'!J103+'All_India_Index_Upto_April23 (1'!K103+'All_India_Index_Upto_April23 (1'!L103+'All_India_Index_Upto_April23 (1'!M103+'All_India_Index_Upto_April23 (1'!N103+'All_India_Index_Upto_April23 (1'!O103+'All_India_Index_Upto_April23 (1'!P103</f>
        <v>1430.2999999999997</v>
      </c>
      <c r="E103">
        <f>'All_India_Index_Upto_April23 (1'!E103+'All_India_Index_Upto_April23 (1'!F103</f>
        <v>248.70000000000002</v>
      </c>
      <c r="F103">
        <v>132.5</v>
      </c>
      <c r="G103">
        <f>'All_India_Index_Upto_April23 (1'!R103+'All_India_Index_Upto_April23 (1'!S103+'All_India_Index_Upto_April23 (1'!T103</f>
        <v>380.1</v>
      </c>
      <c r="H103">
        <f>'All_India_Index_Upto_April23 (1'!U103+'All_India_Index_Upto_April23 (1'!W103</f>
        <v>245.4</v>
      </c>
      <c r="I103">
        <v>120.8</v>
      </c>
      <c r="J103">
        <v>120.4</v>
      </c>
      <c r="K103">
        <v>111.4</v>
      </c>
      <c r="L103">
        <f>'All_India_Index_Upto_April23 (1'!Z103+'All_India_Index_Upto_April23 (1'!AA103+'All_India_Index_Upto_April23 (1'!AB103+'All_India_Index_Upto_April23 (1'!AC103+'All_India_Index_Upto_April23 (1'!AD103</f>
        <v>602.5</v>
      </c>
      <c r="M103">
        <f t="shared" si="11"/>
        <v>3392.1000000000004</v>
      </c>
      <c r="N103">
        <f t="shared" si="12"/>
        <v>42.165620117331429</v>
      </c>
      <c r="O103">
        <f t="shared" si="13"/>
        <v>7.3317413991332803</v>
      </c>
      <c r="P103">
        <f t="shared" si="14"/>
        <v>3.9061348427227962</v>
      </c>
      <c r="Q103">
        <f t="shared" si="15"/>
        <v>11.205447952595735</v>
      </c>
      <c r="R103">
        <f t="shared" si="16"/>
        <v>7.2344565313522597</v>
      </c>
      <c r="S103">
        <f t="shared" si="17"/>
        <v>3.5612157660446329</v>
      </c>
      <c r="T103">
        <f t="shared" si="18"/>
        <v>3.5494236608590546</v>
      </c>
      <c r="U103">
        <f t="shared" si="19"/>
        <v>3.2841012941835439</v>
      </c>
      <c r="V103">
        <f t="shared" si="20"/>
        <v>17.761858435777246</v>
      </c>
      <c r="W103">
        <f t="shared" si="21"/>
        <v>99.999999999999957</v>
      </c>
    </row>
    <row r="104" spans="1:23" x14ac:dyDescent="0.3">
      <c r="A104" t="s">
        <v>30</v>
      </c>
      <c r="B104">
        <v>2015</v>
      </c>
      <c r="C104" t="s">
        <v>44</v>
      </c>
      <c r="D104">
        <f>'All_India_Index_Upto_April23 (1'!D104+'All_India_Index_Upto_April23 (1'!G104+'All_India_Index_Upto_April23 (1'!H104+'All_India_Index_Upto_April23 (1'!I104+'All_India_Index_Upto_April23 (1'!J104+'All_India_Index_Upto_April23 (1'!K104+'All_India_Index_Upto_April23 (1'!L104+'All_India_Index_Upto_April23 (1'!M104+'All_India_Index_Upto_April23 (1'!N104+'All_India_Index_Upto_April23 (1'!O104+'All_India_Index_Upto_April23 (1'!P104</f>
        <v>1434</v>
      </c>
      <c r="E104">
        <f>'All_India_Index_Upto_April23 (1'!E104+'All_India_Index_Upto_April23 (1'!F104</f>
        <v>252.3</v>
      </c>
      <c r="F104">
        <v>132.19999999999999</v>
      </c>
      <c r="G104">
        <f>'All_India_Index_Upto_April23 (1'!R104+'All_India_Index_Upto_April23 (1'!S104+'All_India_Index_Upto_April23 (1'!T104</f>
        <v>391.79999999999995</v>
      </c>
      <c r="H104">
        <f>'All_India_Index_Upto_April23 (1'!U104+'All_India_Index_Upto_April23 (1'!W104</f>
        <v>125.6</v>
      </c>
      <c r="I104">
        <v>125.6</v>
      </c>
      <c r="J104">
        <v>122.6</v>
      </c>
      <c r="K104">
        <v>114</v>
      </c>
      <c r="L104">
        <f>'All_India_Index_Upto_April23 (1'!Z104+'All_India_Index_Upto_April23 (1'!AA104+'All_India_Index_Upto_April23 (1'!AB104+'All_India_Index_Upto_April23 (1'!AC104+'All_India_Index_Upto_April23 (1'!AD104</f>
        <v>608.79999999999995</v>
      </c>
      <c r="M104">
        <f t="shared" si="11"/>
        <v>3306.8999999999996</v>
      </c>
      <c r="N104">
        <f t="shared" si="12"/>
        <v>43.363875532976508</v>
      </c>
      <c r="O104">
        <f t="shared" si="13"/>
        <v>7.6295019504672057</v>
      </c>
      <c r="P104">
        <f t="shared" si="14"/>
        <v>3.9977017750763557</v>
      </c>
      <c r="Q104">
        <f t="shared" si="15"/>
        <v>11.847954277419941</v>
      </c>
      <c r="R104">
        <f t="shared" si="16"/>
        <v>3.7981190843388073</v>
      </c>
      <c r="S104">
        <f t="shared" si="17"/>
        <v>3.7981190843388073</v>
      </c>
      <c r="T104">
        <f t="shared" si="18"/>
        <v>3.7073996794581032</v>
      </c>
      <c r="U104">
        <f t="shared" si="19"/>
        <v>3.4473373854667519</v>
      </c>
      <c r="V104">
        <f t="shared" si="20"/>
        <v>18.409991230457528</v>
      </c>
      <c r="W104">
        <f t="shared" si="21"/>
        <v>100.00000000000003</v>
      </c>
    </row>
    <row r="105" spans="1:23" x14ac:dyDescent="0.3">
      <c r="A105" t="s">
        <v>32</v>
      </c>
      <c r="B105">
        <v>2015</v>
      </c>
      <c r="C105" t="s">
        <v>44</v>
      </c>
      <c r="D105">
        <f>'All_India_Index_Upto_April23 (1'!D105+'All_India_Index_Upto_April23 (1'!G105+'All_India_Index_Upto_April23 (1'!H105+'All_India_Index_Upto_April23 (1'!I105+'All_India_Index_Upto_April23 (1'!J105+'All_India_Index_Upto_April23 (1'!K105+'All_India_Index_Upto_April23 (1'!L105+'All_India_Index_Upto_April23 (1'!M105+'All_India_Index_Upto_April23 (1'!N105+'All_India_Index_Upto_April23 (1'!O105+'All_India_Index_Upto_April23 (1'!P105</f>
        <v>1457.1999999999998</v>
      </c>
      <c r="E105">
        <f>'All_India_Index_Upto_April23 (1'!E105+'All_India_Index_Upto_April23 (1'!F105</f>
        <v>251.3</v>
      </c>
      <c r="F105">
        <v>137.6</v>
      </c>
      <c r="G105">
        <f>'All_India_Index_Upto_April23 (1'!R105+'All_India_Index_Upto_April23 (1'!S105+'All_India_Index_Upto_April23 (1'!T105</f>
        <v>368.5</v>
      </c>
      <c r="H105">
        <f>'All_India_Index_Upto_April23 (1'!U105+'All_India_Index_Upto_April23 (1'!W105</f>
        <v>243.9</v>
      </c>
      <c r="I105">
        <v>115.1</v>
      </c>
      <c r="J105">
        <v>118.1</v>
      </c>
      <c r="K105">
        <v>109.3</v>
      </c>
      <c r="L105">
        <f>'All_India_Index_Upto_April23 (1'!Z105+'All_India_Index_Upto_April23 (1'!AA105+'All_India_Index_Upto_April23 (1'!AB105+'All_India_Index_Upto_April23 (1'!AC105+'All_India_Index_Upto_April23 (1'!AD105</f>
        <v>599</v>
      </c>
      <c r="M105">
        <f t="shared" si="11"/>
        <v>3399.9999999999995</v>
      </c>
      <c r="N105">
        <f t="shared" si="12"/>
        <v>42.858823529411765</v>
      </c>
      <c r="O105">
        <f t="shared" si="13"/>
        <v>7.3911764705882375</v>
      </c>
      <c r="P105">
        <f t="shared" si="14"/>
        <v>4.0470588235294116</v>
      </c>
      <c r="Q105">
        <f t="shared" si="15"/>
        <v>10.838235294117649</v>
      </c>
      <c r="R105">
        <f t="shared" si="16"/>
        <v>7.1735294117647062</v>
      </c>
      <c r="S105">
        <f t="shared" si="17"/>
        <v>3.3852941176470592</v>
      </c>
      <c r="T105">
        <f t="shared" si="18"/>
        <v>3.473529411764706</v>
      </c>
      <c r="U105">
        <f t="shared" si="19"/>
        <v>3.2147058823529417</v>
      </c>
      <c r="V105">
        <f t="shared" si="20"/>
        <v>17.617647058823533</v>
      </c>
      <c r="W105">
        <f t="shared" si="21"/>
        <v>100.00000000000001</v>
      </c>
    </row>
    <row r="106" spans="1:23" x14ac:dyDescent="0.3">
      <c r="A106" t="s">
        <v>33</v>
      </c>
      <c r="B106">
        <v>2015</v>
      </c>
      <c r="C106" t="s">
        <v>44</v>
      </c>
      <c r="D106">
        <f>'All_India_Index_Upto_April23 (1'!D106+'All_India_Index_Upto_April23 (1'!G106+'All_India_Index_Upto_April23 (1'!H106+'All_India_Index_Upto_April23 (1'!I106+'All_India_Index_Upto_April23 (1'!J106+'All_India_Index_Upto_April23 (1'!K106+'All_India_Index_Upto_April23 (1'!L106+'All_India_Index_Upto_April23 (1'!M106+'All_India_Index_Upto_April23 (1'!N106+'All_India_Index_Upto_April23 (1'!O106+'All_India_Index_Upto_April23 (1'!P106</f>
        <v>1440.2</v>
      </c>
      <c r="E106">
        <f>'All_India_Index_Upto_April23 (1'!E106+'All_India_Index_Upto_April23 (1'!F106</f>
        <v>251.9</v>
      </c>
      <c r="F106">
        <v>133.6</v>
      </c>
      <c r="G106">
        <f>'All_India_Index_Upto_April23 (1'!R106+'All_India_Index_Upto_April23 (1'!S106+'All_India_Index_Upto_April23 (1'!T106</f>
        <v>382.4</v>
      </c>
      <c r="H106">
        <f>'All_India_Index_Upto_April23 (1'!U106+'All_India_Index_Upto_April23 (1'!W106</f>
        <v>246.3</v>
      </c>
      <c r="I106">
        <v>121.6</v>
      </c>
      <c r="J106">
        <v>120.9</v>
      </c>
      <c r="K106">
        <v>111.5</v>
      </c>
      <c r="L106">
        <f>'All_India_Index_Upto_April23 (1'!Z106+'All_India_Index_Upto_April23 (1'!AA106+'All_India_Index_Upto_April23 (1'!AB106+'All_India_Index_Upto_April23 (1'!AC106+'All_India_Index_Upto_April23 (1'!AD106</f>
        <v>604</v>
      </c>
      <c r="M106">
        <f t="shared" si="11"/>
        <v>3412.4</v>
      </c>
      <c r="N106">
        <f t="shared" si="12"/>
        <v>42.204899777282847</v>
      </c>
      <c r="O106">
        <f t="shared" si="13"/>
        <v>7.38190130113703</v>
      </c>
      <c r="P106">
        <f t="shared" si="14"/>
        <v>3.9151330441917711</v>
      </c>
      <c r="Q106">
        <f t="shared" si="15"/>
        <v>11.206189192357284</v>
      </c>
      <c r="R106">
        <f t="shared" si="16"/>
        <v>7.2177939280271959</v>
      </c>
      <c r="S106">
        <f t="shared" si="17"/>
        <v>3.5634743875278394</v>
      </c>
      <c r="T106">
        <f t="shared" si="18"/>
        <v>3.5429609658891104</v>
      </c>
      <c r="U106">
        <f t="shared" si="19"/>
        <v>3.2674950181690301</v>
      </c>
      <c r="V106">
        <f t="shared" si="20"/>
        <v>17.700152385417887</v>
      </c>
      <c r="W106">
        <f t="shared" si="21"/>
        <v>99.999999999999972</v>
      </c>
    </row>
    <row r="107" spans="1:23" x14ac:dyDescent="0.3">
      <c r="A107" t="s">
        <v>30</v>
      </c>
      <c r="B107">
        <v>2015</v>
      </c>
      <c r="C107" t="s">
        <v>45</v>
      </c>
      <c r="D107">
        <f>'All_India_Index_Upto_April23 (1'!D107+'All_India_Index_Upto_April23 (1'!G107+'All_India_Index_Upto_April23 (1'!H107+'All_India_Index_Upto_April23 (1'!I107+'All_India_Index_Upto_April23 (1'!J107+'All_India_Index_Upto_April23 (1'!K107+'All_India_Index_Upto_April23 (1'!L107+'All_India_Index_Upto_April23 (1'!M107+'All_India_Index_Upto_April23 (1'!N107+'All_India_Index_Upto_April23 (1'!O107+'All_India_Index_Upto_April23 (1'!P107</f>
        <v>1427.7</v>
      </c>
      <c r="E107">
        <f>'All_India_Index_Upto_April23 (1'!E107+'All_India_Index_Upto_April23 (1'!F107</f>
        <v>254.60000000000002</v>
      </c>
      <c r="F107">
        <v>133.1</v>
      </c>
      <c r="G107">
        <f>'All_India_Index_Upto_April23 (1'!R107+'All_India_Index_Upto_April23 (1'!S107+'All_India_Index_Upto_April23 (1'!T107</f>
        <v>392.9</v>
      </c>
      <c r="H107">
        <f>'All_India_Index_Upto_April23 (1'!U107+'All_India_Index_Upto_April23 (1'!W107</f>
        <v>126</v>
      </c>
      <c r="I107">
        <v>125.7</v>
      </c>
      <c r="J107">
        <v>123.1</v>
      </c>
      <c r="K107">
        <v>114</v>
      </c>
      <c r="L107">
        <f>'All_India_Index_Upto_April23 (1'!Z107+'All_India_Index_Upto_April23 (1'!AA107+'All_India_Index_Upto_April23 (1'!AB107+'All_India_Index_Upto_April23 (1'!AC107+'All_India_Index_Upto_April23 (1'!AD107</f>
        <v>609</v>
      </c>
      <c r="M107">
        <f t="shared" si="11"/>
        <v>3306.1</v>
      </c>
      <c r="N107">
        <f t="shared" si="12"/>
        <v>43.183811741931585</v>
      </c>
      <c r="O107">
        <f t="shared" si="13"/>
        <v>7.7009164877045473</v>
      </c>
      <c r="P107">
        <f t="shared" si="14"/>
        <v>4.0258915338314019</v>
      </c>
      <c r="Q107">
        <f t="shared" si="15"/>
        <v>11.884093040137927</v>
      </c>
      <c r="R107">
        <f t="shared" si="16"/>
        <v>3.8111369892017786</v>
      </c>
      <c r="S107">
        <f t="shared" si="17"/>
        <v>3.8020628535132031</v>
      </c>
      <c r="T107">
        <f t="shared" si="18"/>
        <v>3.7234203442122138</v>
      </c>
      <c r="U107">
        <f t="shared" si="19"/>
        <v>3.4481715616587518</v>
      </c>
      <c r="V107">
        <f t="shared" si="20"/>
        <v>18.420495447808598</v>
      </c>
      <c r="W107">
        <f t="shared" si="21"/>
        <v>100.00000000000003</v>
      </c>
    </row>
    <row r="108" spans="1:23" x14ac:dyDescent="0.3">
      <c r="A108" t="s">
        <v>32</v>
      </c>
      <c r="B108">
        <v>2015</v>
      </c>
      <c r="C108" t="s">
        <v>45</v>
      </c>
      <c r="D108">
        <f>'All_India_Index_Upto_April23 (1'!D108+'All_India_Index_Upto_April23 (1'!G108+'All_India_Index_Upto_April23 (1'!H108+'All_India_Index_Upto_April23 (1'!I108+'All_India_Index_Upto_April23 (1'!J108+'All_India_Index_Upto_April23 (1'!K108+'All_India_Index_Upto_April23 (1'!L108+'All_India_Index_Upto_April23 (1'!M108+'All_India_Index_Upto_April23 (1'!N108+'All_India_Index_Upto_April23 (1'!O108+'All_India_Index_Upto_April23 (1'!P108</f>
        <v>1440.0000000000002</v>
      </c>
      <c r="E108">
        <f>'All_India_Index_Upto_April23 (1'!E108+'All_India_Index_Upto_April23 (1'!F108</f>
        <v>258.79999999999995</v>
      </c>
      <c r="F108">
        <v>138.19999999999999</v>
      </c>
      <c r="G108">
        <f>'All_India_Index_Upto_April23 (1'!R108+'All_India_Index_Upto_April23 (1'!S108+'All_India_Index_Upto_April23 (1'!T108</f>
        <v>369.4</v>
      </c>
      <c r="H108">
        <f>'All_India_Index_Upto_April23 (1'!U108+'All_India_Index_Upto_April23 (1'!W108</f>
        <v>243.4</v>
      </c>
      <c r="I108">
        <v>116</v>
      </c>
      <c r="J108">
        <v>118.6</v>
      </c>
      <c r="K108">
        <v>109.3</v>
      </c>
      <c r="L108">
        <f>'All_India_Index_Upto_April23 (1'!Z108+'All_India_Index_Upto_April23 (1'!AA108+'All_India_Index_Upto_April23 (1'!AB108+'All_India_Index_Upto_April23 (1'!AC108+'All_India_Index_Upto_April23 (1'!AD108</f>
        <v>598.59999999999991</v>
      </c>
      <c r="M108">
        <f t="shared" si="11"/>
        <v>3392.3</v>
      </c>
      <c r="N108">
        <f t="shared" si="12"/>
        <v>42.449075848244561</v>
      </c>
      <c r="O108">
        <f t="shared" si="13"/>
        <v>7.6290422427261726</v>
      </c>
      <c r="P108">
        <f t="shared" si="14"/>
        <v>4.0739321404356916</v>
      </c>
      <c r="Q108">
        <f t="shared" si="15"/>
        <v>10.889367096070512</v>
      </c>
      <c r="R108">
        <f t="shared" si="16"/>
        <v>7.175072959349114</v>
      </c>
      <c r="S108">
        <f t="shared" si="17"/>
        <v>3.4195088877752555</v>
      </c>
      <c r="T108">
        <f t="shared" si="18"/>
        <v>3.4961530525012523</v>
      </c>
      <c r="U108">
        <f t="shared" si="19"/>
        <v>3.2220027709813399</v>
      </c>
      <c r="V108">
        <f t="shared" si="20"/>
        <v>17.645845001916101</v>
      </c>
      <c r="W108">
        <f t="shared" si="21"/>
        <v>99.999999999999986</v>
      </c>
    </row>
    <row r="109" spans="1:23" x14ac:dyDescent="0.3">
      <c r="A109" t="s">
        <v>33</v>
      </c>
      <c r="B109">
        <v>2015</v>
      </c>
      <c r="C109" t="s">
        <v>45</v>
      </c>
      <c r="D109">
        <f>'All_India_Index_Upto_April23 (1'!D109+'All_India_Index_Upto_April23 (1'!G109+'All_India_Index_Upto_April23 (1'!H109+'All_India_Index_Upto_April23 (1'!I109+'All_India_Index_Upto_April23 (1'!J109+'All_India_Index_Upto_April23 (1'!K109+'All_India_Index_Upto_April23 (1'!L109+'All_India_Index_Upto_April23 (1'!M109+'All_India_Index_Upto_April23 (1'!N109+'All_India_Index_Upto_April23 (1'!O109+'All_India_Index_Upto_April23 (1'!P109</f>
        <v>1429.9</v>
      </c>
      <c r="E109">
        <f>'All_India_Index_Upto_April23 (1'!E109+'All_India_Index_Upto_April23 (1'!F109</f>
        <v>256.2</v>
      </c>
      <c r="F109">
        <v>134.5</v>
      </c>
      <c r="G109">
        <f>'All_India_Index_Upto_April23 (1'!R109+'All_India_Index_Upto_April23 (1'!S109+'All_India_Index_Upto_April23 (1'!T109</f>
        <v>383.5</v>
      </c>
      <c r="H109">
        <f>'All_India_Index_Upto_April23 (1'!U109+'All_India_Index_Upto_April23 (1'!W109</f>
        <v>246</v>
      </c>
      <c r="I109">
        <v>122</v>
      </c>
      <c r="J109">
        <v>121.4</v>
      </c>
      <c r="K109">
        <v>111.5</v>
      </c>
      <c r="L109">
        <f>'All_India_Index_Upto_April23 (1'!Z109+'All_India_Index_Upto_April23 (1'!AA109+'All_India_Index_Upto_April23 (1'!AB109+'All_India_Index_Upto_April23 (1'!AC109+'All_India_Index_Upto_April23 (1'!AD109</f>
        <v>603.9</v>
      </c>
      <c r="M109">
        <f t="shared" si="11"/>
        <v>3408.9000000000005</v>
      </c>
      <c r="N109">
        <f t="shared" si="12"/>
        <v>41.94608231394291</v>
      </c>
      <c r="O109">
        <f t="shared" si="13"/>
        <v>7.5156208747689854</v>
      </c>
      <c r="P109">
        <f t="shared" si="14"/>
        <v>3.9455542843732574</v>
      </c>
      <c r="Q109">
        <f t="shared" si="15"/>
        <v>11.249963331279883</v>
      </c>
      <c r="R109">
        <f t="shared" si="16"/>
        <v>7.2164041186306429</v>
      </c>
      <c r="S109">
        <f t="shared" si="17"/>
        <v>3.5788670832233263</v>
      </c>
      <c r="T109">
        <f t="shared" si="18"/>
        <v>3.5612660975681303</v>
      </c>
      <c r="U109">
        <f t="shared" si="19"/>
        <v>3.2708498342573846</v>
      </c>
      <c r="V109">
        <f t="shared" si="20"/>
        <v>17.715392061955466</v>
      </c>
      <c r="W109">
        <f t="shared" si="21"/>
        <v>100.00000000000001</v>
      </c>
    </row>
    <row r="110" spans="1:23" x14ac:dyDescent="0.3">
      <c r="A110" t="s">
        <v>30</v>
      </c>
      <c r="B110">
        <v>2016</v>
      </c>
      <c r="C110" t="s">
        <v>31</v>
      </c>
      <c r="D110">
        <f>'All_India_Index_Upto_April23 (1'!D110+'All_India_Index_Upto_April23 (1'!G110+'All_India_Index_Upto_April23 (1'!H110+'All_India_Index_Upto_April23 (1'!I110+'All_India_Index_Upto_April23 (1'!J110+'All_India_Index_Upto_April23 (1'!K110+'All_India_Index_Upto_April23 (1'!L110+'All_India_Index_Upto_April23 (1'!M110+'All_India_Index_Upto_April23 (1'!N110+'All_India_Index_Upto_April23 (1'!O110+'All_India_Index_Upto_April23 (1'!P110</f>
        <v>1430.4</v>
      </c>
      <c r="E110">
        <f>'All_India_Index_Upto_April23 (1'!E110+'All_India_Index_Upto_April23 (1'!F110</f>
        <v>259.7</v>
      </c>
      <c r="F110">
        <v>133.6</v>
      </c>
      <c r="G110">
        <f>'All_India_Index_Upto_April23 (1'!R110+'All_India_Index_Upto_April23 (1'!S110+'All_India_Index_Upto_April23 (1'!T110</f>
        <v>394.70000000000005</v>
      </c>
      <c r="H110">
        <f>'All_India_Index_Upto_April23 (1'!U110+'All_India_Index_Upto_April23 (1'!W110</f>
        <v>126.6</v>
      </c>
      <c r="I110">
        <v>126.2</v>
      </c>
      <c r="J110">
        <v>123.7</v>
      </c>
      <c r="K110">
        <v>113.6</v>
      </c>
      <c r="L110">
        <f>'All_India_Index_Upto_April23 (1'!Z110+'All_India_Index_Upto_April23 (1'!AA110+'All_India_Index_Upto_April23 (1'!AB110+'All_India_Index_Upto_April23 (1'!AC110+'All_India_Index_Upto_April23 (1'!AD110</f>
        <v>610.70000000000005</v>
      </c>
      <c r="M110">
        <f t="shared" si="11"/>
        <v>3319.2</v>
      </c>
      <c r="N110">
        <f t="shared" si="12"/>
        <v>43.094721619667389</v>
      </c>
      <c r="O110">
        <f t="shared" si="13"/>
        <v>7.82417449987949</v>
      </c>
      <c r="P110">
        <f t="shared" si="14"/>
        <v>4.0250662810315738</v>
      </c>
      <c r="Q110">
        <f t="shared" si="15"/>
        <v>11.891419619185347</v>
      </c>
      <c r="R110">
        <f t="shared" si="16"/>
        <v>3.814172089660159</v>
      </c>
      <c r="S110">
        <f t="shared" si="17"/>
        <v>3.8021209930103641</v>
      </c>
      <c r="T110">
        <f t="shared" si="18"/>
        <v>3.7268016389491447</v>
      </c>
      <c r="U110">
        <f t="shared" si="19"/>
        <v>3.4225114485418171</v>
      </c>
      <c r="V110">
        <f t="shared" si="20"/>
        <v>18.399011810074718</v>
      </c>
      <c r="W110">
        <f t="shared" si="21"/>
        <v>100</v>
      </c>
    </row>
    <row r="111" spans="1:23" x14ac:dyDescent="0.3">
      <c r="A111" t="s">
        <v>32</v>
      </c>
      <c r="B111">
        <v>2016</v>
      </c>
      <c r="C111" t="s">
        <v>31</v>
      </c>
      <c r="D111">
        <f>'All_India_Index_Upto_April23 (1'!D111+'All_India_Index_Upto_April23 (1'!G111+'All_India_Index_Upto_April23 (1'!H111+'All_India_Index_Upto_April23 (1'!I111+'All_India_Index_Upto_April23 (1'!J111+'All_India_Index_Upto_April23 (1'!K111+'All_India_Index_Upto_April23 (1'!L111+'All_India_Index_Upto_April23 (1'!M111+'All_India_Index_Upto_April23 (1'!N111+'All_India_Index_Upto_April23 (1'!O111+'All_India_Index_Upto_April23 (1'!P111</f>
        <v>1433.5</v>
      </c>
      <c r="E111">
        <f>'All_India_Index_Upto_April23 (1'!E111+'All_India_Index_Upto_April23 (1'!F111</f>
        <v>267.89999999999998</v>
      </c>
      <c r="F111">
        <v>139.5</v>
      </c>
      <c r="G111">
        <f>'All_India_Index_Upto_April23 (1'!R111+'All_India_Index_Upto_April23 (1'!S111+'All_India_Index_Upto_April23 (1'!T111</f>
        <v>370.5</v>
      </c>
      <c r="H111">
        <f>'All_India_Index_Upto_April23 (1'!U111+'All_India_Index_Upto_April23 (1'!W111</f>
        <v>245</v>
      </c>
      <c r="I111">
        <v>116.9</v>
      </c>
      <c r="J111">
        <v>119.1</v>
      </c>
      <c r="K111">
        <v>108.9</v>
      </c>
      <c r="L111">
        <f>'All_India_Index_Upto_April23 (1'!Z111+'All_India_Index_Upto_April23 (1'!AA111+'All_India_Index_Upto_April23 (1'!AB111+'All_India_Index_Upto_April23 (1'!AC111+'All_India_Index_Upto_April23 (1'!AD111</f>
        <v>599.9</v>
      </c>
      <c r="M111">
        <f t="shared" si="11"/>
        <v>3401.2000000000003</v>
      </c>
      <c r="N111">
        <f t="shared" si="12"/>
        <v>42.146889333176524</v>
      </c>
      <c r="O111">
        <f t="shared" si="13"/>
        <v>7.8766317770198739</v>
      </c>
      <c r="P111">
        <f t="shared" si="14"/>
        <v>4.101493590497471</v>
      </c>
      <c r="Q111">
        <f t="shared" si="15"/>
        <v>10.893214159708338</v>
      </c>
      <c r="R111">
        <f t="shared" si="16"/>
        <v>7.2033399976478885</v>
      </c>
      <c r="S111">
        <f t="shared" si="17"/>
        <v>3.4370222274491353</v>
      </c>
      <c r="T111">
        <f t="shared" si="18"/>
        <v>3.5017052804892388</v>
      </c>
      <c r="U111">
        <f t="shared" si="19"/>
        <v>3.2018111254851225</v>
      </c>
      <c r="V111">
        <f t="shared" si="20"/>
        <v>17.637892508526402</v>
      </c>
      <c r="W111">
        <f t="shared" si="21"/>
        <v>99.999999999999986</v>
      </c>
    </row>
    <row r="112" spans="1:23" x14ac:dyDescent="0.3">
      <c r="A112" t="s">
        <v>33</v>
      </c>
      <c r="B112">
        <v>2016</v>
      </c>
      <c r="C112" t="s">
        <v>31</v>
      </c>
      <c r="D112">
        <f>'All_India_Index_Upto_April23 (1'!D112+'All_India_Index_Upto_April23 (1'!G112+'All_India_Index_Upto_April23 (1'!H112+'All_India_Index_Upto_April23 (1'!I112+'All_India_Index_Upto_April23 (1'!J112+'All_India_Index_Upto_April23 (1'!K112+'All_India_Index_Upto_April23 (1'!L112+'All_India_Index_Upto_April23 (1'!M112+'All_India_Index_Upto_April23 (1'!N112+'All_India_Index_Upto_April23 (1'!O112+'All_India_Index_Upto_April23 (1'!P112</f>
        <v>1429</v>
      </c>
      <c r="E112">
        <f>'All_India_Index_Upto_April23 (1'!E112+'All_India_Index_Upto_April23 (1'!F112</f>
        <v>262.7</v>
      </c>
      <c r="F112">
        <v>135.19999999999999</v>
      </c>
      <c r="G112">
        <f>'All_India_Index_Upto_April23 (1'!R112+'All_India_Index_Upto_April23 (1'!S112+'All_India_Index_Upto_April23 (1'!T112</f>
        <v>384.9</v>
      </c>
      <c r="H112">
        <f>'All_India_Index_Upto_April23 (1'!U112+'All_India_Index_Upto_April23 (1'!W112</f>
        <v>247.60000000000002</v>
      </c>
      <c r="I112">
        <v>122.7</v>
      </c>
      <c r="J112">
        <v>122</v>
      </c>
      <c r="K112">
        <v>111.1</v>
      </c>
      <c r="L112">
        <f>'All_India_Index_Upto_April23 (1'!Z112+'All_India_Index_Upto_April23 (1'!AA112+'All_India_Index_Upto_April23 (1'!AB112+'All_India_Index_Upto_April23 (1'!AC112+'All_India_Index_Upto_April23 (1'!AD112</f>
        <v>605.4</v>
      </c>
      <c r="M112">
        <f t="shared" si="11"/>
        <v>3420.6</v>
      </c>
      <c r="N112">
        <f t="shared" si="12"/>
        <v>41.776296556159735</v>
      </c>
      <c r="O112">
        <f t="shared" si="13"/>
        <v>7.6799391919546283</v>
      </c>
      <c r="P112">
        <f t="shared" si="14"/>
        <v>3.9525229491901999</v>
      </c>
      <c r="Q112">
        <f t="shared" si="15"/>
        <v>11.252411857568848</v>
      </c>
      <c r="R112">
        <f t="shared" si="16"/>
        <v>7.2384961702625272</v>
      </c>
      <c r="S112">
        <f t="shared" si="17"/>
        <v>3.5870899842132959</v>
      </c>
      <c r="T112">
        <f t="shared" si="18"/>
        <v>3.5666257381745892</v>
      </c>
      <c r="U112">
        <f t="shared" si="19"/>
        <v>3.2479681927147288</v>
      </c>
      <c r="V112">
        <f t="shared" si="20"/>
        <v>17.698649359761447</v>
      </c>
      <c r="W112">
        <f t="shared" si="21"/>
        <v>99.999999999999986</v>
      </c>
    </row>
    <row r="113" spans="1:23" x14ac:dyDescent="0.3">
      <c r="A113" t="s">
        <v>30</v>
      </c>
      <c r="B113">
        <v>2016</v>
      </c>
      <c r="C113" t="s">
        <v>34</v>
      </c>
      <c r="D113">
        <f>'All_India_Index_Upto_April23 (1'!D113+'All_India_Index_Upto_April23 (1'!G113+'All_India_Index_Upto_April23 (1'!H113+'All_India_Index_Upto_April23 (1'!I113+'All_India_Index_Upto_April23 (1'!J113+'All_India_Index_Upto_April23 (1'!K113+'All_India_Index_Upto_April23 (1'!L113+'All_India_Index_Upto_April23 (1'!M113+'All_India_Index_Upto_April23 (1'!N113+'All_India_Index_Upto_April23 (1'!O113+'All_India_Index_Upto_April23 (1'!P113</f>
        <v>1421.1999999999998</v>
      </c>
      <c r="E113">
        <f>'All_India_Index_Upto_April23 (1'!E113+'All_India_Index_Upto_April23 (1'!F113</f>
        <v>261.39999999999998</v>
      </c>
      <c r="F113">
        <v>134.4</v>
      </c>
      <c r="G113">
        <f>'All_India_Index_Upto_April23 (1'!R113+'All_India_Index_Upto_April23 (1'!S113+'All_India_Index_Upto_April23 (1'!T113</f>
        <v>397.1</v>
      </c>
      <c r="H113">
        <f>'All_India_Index_Upto_April23 (1'!U113+'All_India_Index_Upto_April23 (1'!W113</f>
        <v>127.1</v>
      </c>
      <c r="I113">
        <v>127.5</v>
      </c>
      <c r="J113">
        <v>124.3</v>
      </c>
      <c r="K113">
        <v>113.9</v>
      </c>
      <c r="L113">
        <f>'All_India_Index_Upto_April23 (1'!Z113+'All_India_Index_Upto_April23 (1'!AA113+'All_India_Index_Upto_April23 (1'!AB113+'All_India_Index_Upto_April23 (1'!AC113+'All_India_Index_Upto_April23 (1'!AD113</f>
        <v>615</v>
      </c>
      <c r="M113">
        <f t="shared" si="11"/>
        <v>3321.9</v>
      </c>
      <c r="N113">
        <f t="shared" si="12"/>
        <v>42.782744814714462</v>
      </c>
      <c r="O113">
        <f t="shared" si="13"/>
        <v>7.8689906378879542</v>
      </c>
      <c r="P113">
        <f t="shared" si="14"/>
        <v>4.045877359342545</v>
      </c>
      <c r="Q113">
        <f t="shared" si="15"/>
        <v>11.954002227640808</v>
      </c>
      <c r="R113">
        <f t="shared" si="16"/>
        <v>3.8261236039615878</v>
      </c>
      <c r="S113">
        <f t="shared" si="17"/>
        <v>3.8381649056262983</v>
      </c>
      <c r="T113">
        <f t="shared" si="18"/>
        <v>3.7418344923086182</v>
      </c>
      <c r="U113">
        <f t="shared" si="19"/>
        <v>3.42876064902616</v>
      </c>
      <c r="V113">
        <f t="shared" si="20"/>
        <v>18.513501309491556</v>
      </c>
      <c r="W113">
        <f t="shared" si="21"/>
        <v>100</v>
      </c>
    </row>
    <row r="114" spans="1:23" x14ac:dyDescent="0.3">
      <c r="A114" t="s">
        <v>32</v>
      </c>
      <c r="B114">
        <v>2016</v>
      </c>
      <c r="C114" t="s">
        <v>34</v>
      </c>
      <c r="D114">
        <f>'All_India_Index_Upto_April23 (1'!D114+'All_India_Index_Upto_April23 (1'!G114+'All_India_Index_Upto_April23 (1'!H114+'All_India_Index_Upto_April23 (1'!I114+'All_India_Index_Upto_April23 (1'!J114+'All_India_Index_Upto_April23 (1'!K114+'All_India_Index_Upto_April23 (1'!L114+'All_India_Index_Upto_April23 (1'!M114+'All_India_Index_Upto_April23 (1'!N114+'All_India_Index_Upto_April23 (1'!O114+'All_India_Index_Upto_April23 (1'!P114</f>
        <v>1410.6999999999998</v>
      </c>
      <c r="E114">
        <f>'All_India_Index_Upto_April23 (1'!E114+'All_India_Index_Upto_April23 (1'!F114</f>
        <v>265.39999999999998</v>
      </c>
      <c r="F114">
        <v>140</v>
      </c>
      <c r="G114">
        <f>'All_India_Index_Upto_April23 (1'!R114+'All_India_Index_Upto_April23 (1'!S114+'All_India_Index_Upto_April23 (1'!T114</f>
        <v>371.6</v>
      </c>
      <c r="H114">
        <f>'All_India_Index_Upto_April23 (1'!U114+'All_India_Index_Upto_April23 (1'!W114</f>
        <v>246.2</v>
      </c>
      <c r="I114">
        <v>116</v>
      </c>
      <c r="J114">
        <v>119.5</v>
      </c>
      <c r="K114">
        <v>109.1</v>
      </c>
      <c r="L114">
        <f>'All_India_Index_Upto_April23 (1'!Z114+'All_India_Index_Upto_April23 (1'!AA114+'All_India_Index_Upto_April23 (1'!AB114+'All_India_Index_Upto_April23 (1'!AC114+'All_India_Index_Upto_April23 (1'!AD114</f>
        <v>602.29999999999995</v>
      </c>
      <c r="M114">
        <f t="shared" si="11"/>
        <v>3380.7999999999993</v>
      </c>
      <c r="N114">
        <f t="shared" si="12"/>
        <v>41.726810222432562</v>
      </c>
      <c r="O114">
        <f t="shared" si="13"/>
        <v>7.8502129673450076</v>
      </c>
      <c r="P114">
        <f t="shared" si="14"/>
        <v>4.1410317084713686</v>
      </c>
      <c r="Q114">
        <f t="shared" si="15"/>
        <v>10.991481306199718</v>
      </c>
      <c r="R114">
        <f t="shared" si="16"/>
        <v>7.2823000473260775</v>
      </c>
      <c r="S114">
        <f t="shared" si="17"/>
        <v>3.4311405584477055</v>
      </c>
      <c r="T114">
        <f t="shared" si="18"/>
        <v>3.53466635115949</v>
      </c>
      <c r="U114">
        <f t="shared" si="19"/>
        <v>3.227046852815902</v>
      </c>
      <c r="V114">
        <f t="shared" si="20"/>
        <v>17.81530998580218</v>
      </c>
      <c r="W114">
        <f t="shared" si="21"/>
        <v>100</v>
      </c>
    </row>
    <row r="115" spans="1:23" x14ac:dyDescent="0.3">
      <c r="A115" t="s">
        <v>33</v>
      </c>
      <c r="B115">
        <v>2016</v>
      </c>
      <c r="C115" t="s">
        <v>34</v>
      </c>
      <c r="D115">
        <f>'All_India_Index_Upto_April23 (1'!D115+'All_India_Index_Upto_April23 (1'!G115+'All_India_Index_Upto_April23 (1'!H115+'All_India_Index_Upto_April23 (1'!I115+'All_India_Index_Upto_April23 (1'!J115+'All_India_Index_Upto_April23 (1'!K115+'All_India_Index_Upto_April23 (1'!L115+'All_India_Index_Upto_April23 (1'!M115+'All_India_Index_Upto_April23 (1'!N115+'All_India_Index_Upto_April23 (1'!O115+'All_India_Index_Upto_April23 (1'!P115</f>
        <v>1415.2</v>
      </c>
      <c r="E115">
        <f>'All_India_Index_Upto_April23 (1'!E115+'All_India_Index_Upto_April23 (1'!F115</f>
        <v>262.89999999999998</v>
      </c>
      <c r="F115">
        <v>135.9</v>
      </c>
      <c r="G115">
        <f>'All_India_Index_Upto_April23 (1'!R115+'All_India_Index_Upto_April23 (1'!S115+'All_India_Index_Upto_April23 (1'!T115</f>
        <v>386.9</v>
      </c>
      <c r="H115">
        <f>'All_India_Index_Upto_April23 (1'!U115+'All_India_Index_Upto_April23 (1'!W115</f>
        <v>249</v>
      </c>
      <c r="I115">
        <v>123.1</v>
      </c>
      <c r="J115">
        <v>122.5</v>
      </c>
      <c r="K115">
        <v>111.4</v>
      </c>
      <c r="L115">
        <f>'All_India_Index_Upto_April23 (1'!Z115+'All_India_Index_Upto_April23 (1'!AA115+'All_India_Index_Upto_April23 (1'!AB115+'All_India_Index_Upto_April23 (1'!AC115+'All_India_Index_Upto_April23 (1'!AD115</f>
        <v>608.6</v>
      </c>
      <c r="M115">
        <f t="shared" si="11"/>
        <v>3415.5</v>
      </c>
      <c r="N115">
        <f t="shared" si="12"/>
        <v>41.434636217244915</v>
      </c>
      <c r="O115">
        <f t="shared" si="13"/>
        <v>7.6972624798711751</v>
      </c>
      <c r="P115">
        <f t="shared" si="14"/>
        <v>3.9789196310935444</v>
      </c>
      <c r="Q115">
        <f t="shared" si="15"/>
        <v>11.32777045820524</v>
      </c>
      <c r="R115">
        <f t="shared" si="16"/>
        <v>7.2902942468159857</v>
      </c>
      <c r="S115">
        <f t="shared" si="17"/>
        <v>3.6041575172009956</v>
      </c>
      <c r="T115">
        <f t="shared" si="18"/>
        <v>3.586590543112282</v>
      </c>
      <c r="U115">
        <f t="shared" si="19"/>
        <v>3.2616015224710879</v>
      </c>
      <c r="V115">
        <f t="shared" si="20"/>
        <v>17.818767383984778</v>
      </c>
      <c r="W115">
        <f t="shared" si="21"/>
        <v>100</v>
      </c>
    </row>
    <row r="116" spans="1:23" x14ac:dyDescent="0.3">
      <c r="A116" t="s">
        <v>30</v>
      </c>
      <c r="B116">
        <v>2016</v>
      </c>
      <c r="C116" t="s">
        <v>35</v>
      </c>
      <c r="D116">
        <f>'All_India_Index_Upto_April23 (1'!D116+'All_India_Index_Upto_April23 (1'!G116+'All_India_Index_Upto_April23 (1'!H116+'All_India_Index_Upto_April23 (1'!I116+'All_India_Index_Upto_April23 (1'!J116+'All_India_Index_Upto_April23 (1'!K116+'All_India_Index_Upto_April23 (1'!L116+'All_India_Index_Upto_April23 (1'!M116+'All_India_Index_Upto_April23 (1'!N116+'All_India_Index_Upto_April23 (1'!O116+'All_India_Index_Upto_April23 (1'!P116</f>
        <v>1423.2000000000003</v>
      </c>
      <c r="E116">
        <f>'All_India_Index_Upto_April23 (1'!E116+'All_India_Index_Upto_April23 (1'!F116</f>
        <v>259.5</v>
      </c>
      <c r="F116">
        <v>135</v>
      </c>
      <c r="G116">
        <f>'All_India_Index_Upto_April23 (1'!R116+'All_India_Index_Upto_April23 (1'!S116+'All_India_Index_Upto_April23 (1'!T116</f>
        <v>398.40000000000003</v>
      </c>
      <c r="H116">
        <f>'All_India_Index_Upto_April23 (1'!U116+'All_India_Index_Upto_April23 (1'!W116</f>
        <v>127.7</v>
      </c>
      <c r="I116">
        <v>127</v>
      </c>
      <c r="J116">
        <v>124.8</v>
      </c>
      <c r="K116">
        <v>113.6</v>
      </c>
      <c r="L116">
        <f>'All_India_Index_Upto_April23 (1'!Z116+'All_India_Index_Upto_April23 (1'!AA116+'All_India_Index_Upto_April23 (1'!AB116+'All_India_Index_Upto_April23 (1'!AC116+'All_India_Index_Upto_April23 (1'!AD116</f>
        <v>616.5</v>
      </c>
      <c r="M116">
        <f t="shared" si="11"/>
        <v>3325.7000000000003</v>
      </c>
      <c r="N116">
        <f t="shared" si="12"/>
        <v>42.793998256006262</v>
      </c>
      <c r="O116">
        <f t="shared" si="13"/>
        <v>7.8028685690230626</v>
      </c>
      <c r="P116">
        <f t="shared" si="14"/>
        <v>4.0592957873530375</v>
      </c>
      <c r="Q116">
        <f t="shared" si="15"/>
        <v>11.979432901344078</v>
      </c>
      <c r="R116">
        <f t="shared" si="16"/>
        <v>3.8397931262591332</v>
      </c>
      <c r="S116">
        <f t="shared" si="17"/>
        <v>3.8187449258802659</v>
      </c>
      <c r="T116">
        <f t="shared" si="18"/>
        <v>3.7525934389752531</v>
      </c>
      <c r="U116">
        <f t="shared" si="19"/>
        <v>3.4158222329133707</v>
      </c>
      <c r="V116">
        <f t="shared" si="20"/>
        <v>18.537450762245541</v>
      </c>
      <c r="W116">
        <f t="shared" si="21"/>
        <v>100.00000000000001</v>
      </c>
    </row>
    <row r="117" spans="1:23" x14ac:dyDescent="0.3">
      <c r="A117" t="s">
        <v>32</v>
      </c>
      <c r="B117">
        <v>2016</v>
      </c>
      <c r="C117" t="s">
        <v>35</v>
      </c>
      <c r="D117">
        <f>'All_India_Index_Upto_April23 (1'!D117+'All_India_Index_Upto_April23 (1'!G117+'All_India_Index_Upto_April23 (1'!H117+'All_India_Index_Upto_April23 (1'!I117+'All_India_Index_Upto_April23 (1'!J117+'All_India_Index_Upto_April23 (1'!K117+'All_India_Index_Upto_April23 (1'!L117+'All_India_Index_Upto_April23 (1'!M117+'All_India_Index_Upto_April23 (1'!N117+'All_India_Index_Upto_April23 (1'!O117+'All_India_Index_Upto_April23 (1'!P117</f>
        <v>1407.6000000000001</v>
      </c>
      <c r="E117">
        <f>'All_India_Index_Upto_April23 (1'!E117+'All_India_Index_Upto_April23 (1'!F117</f>
        <v>260</v>
      </c>
      <c r="F117">
        <v>140.6</v>
      </c>
      <c r="G117">
        <f>'All_India_Index_Upto_April23 (1'!R117+'All_India_Index_Upto_April23 (1'!S117+'All_India_Index_Upto_April23 (1'!T117</f>
        <v>372.2</v>
      </c>
      <c r="H117">
        <f>'All_India_Index_Upto_April23 (1'!U117+'All_India_Index_Upto_April23 (1'!W117</f>
        <v>247.2</v>
      </c>
      <c r="I117">
        <v>114.8</v>
      </c>
      <c r="J117">
        <v>119.7</v>
      </c>
      <c r="K117">
        <v>108.5</v>
      </c>
      <c r="L117">
        <f>'All_India_Index_Upto_April23 (1'!Z117+'All_India_Index_Upto_April23 (1'!AA117+'All_India_Index_Upto_April23 (1'!AB117+'All_India_Index_Upto_April23 (1'!AC117+'All_India_Index_Upto_April23 (1'!AD117</f>
        <v>603.70000000000005</v>
      </c>
      <c r="M117">
        <f t="shared" si="11"/>
        <v>3374.3</v>
      </c>
      <c r="N117">
        <f t="shared" si="12"/>
        <v>41.715318732774207</v>
      </c>
      <c r="O117">
        <f t="shared" si="13"/>
        <v>7.7053018403817077</v>
      </c>
      <c r="P117">
        <f t="shared" si="14"/>
        <v>4.1667901490679542</v>
      </c>
      <c r="Q117">
        <f t="shared" si="15"/>
        <v>11.030435942269506</v>
      </c>
      <c r="R117">
        <f t="shared" si="16"/>
        <v>7.325963903624455</v>
      </c>
      <c r="S117">
        <f t="shared" si="17"/>
        <v>3.4021871202916159</v>
      </c>
      <c r="T117">
        <f t="shared" si="18"/>
        <v>3.5474024242065019</v>
      </c>
      <c r="U117">
        <f t="shared" si="19"/>
        <v>3.2154817295439049</v>
      </c>
      <c r="V117">
        <f t="shared" si="20"/>
        <v>17.891118157840143</v>
      </c>
      <c r="W117">
        <f t="shared" si="21"/>
        <v>100</v>
      </c>
    </row>
    <row r="118" spans="1:23" x14ac:dyDescent="0.3">
      <c r="A118" t="s">
        <v>33</v>
      </c>
      <c r="B118">
        <v>2016</v>
      </c>
      <c r="C118" t="s">
        <v>35</v>
      </c>
      <c r="D118">
        <f>'All_India_Index_Upto_April23 (1'!D118+'All_India_Index_Upto_April23 (1'!G118+'All_India_Index_Upto_April23 (1'!H118+'All_India_Index_Upto_April23 (1'!I118+'All_India_Index_Upto_April23 (1'!J118+'All_India_Index_Upto_April23 (1'!K118+'All_India_Index_Upto_April23 (1'!L118+'All_India_Index_Upto_April23 (1'!M118+'All_India_Index_Upto_April23 (1'!N118+'All_India_Index_Upto_April23 (1'!O118+'All_India_Index_Upto_April23 (1'!P118</f>
        <v>1415.4999999999998</v>
      </c>
      <c r="E118">
        <f>'All_India_Index_Upto_April23 (1'!E118+'All_India_Index_Upto_April23 (1'!F118</f>
        <v>259.7</v>
      </c>
      <c r="F118">
        <v>136.5</v>
      </c>
      <c r="G118">
        <f>'All_India_Index_Upto_April23 (1'!R118+'All_India_Index_Upto_April23 (1'!S118+'All_India_Index_Upto_April23 (1'!T118</f>
        <v>387.9</v>
      </c>
      <c r="H118">
        <f>'All_India_Index_Upto_April23 (1'!U118+'All_India_Index_Upto_April23 (1'!W118</f>
        <v>250</v>
      </c>
      <c r="I118">
        <v>122.4</v>
      </c>
      <c r="J118">
        <v>122.9</v>
      </c>
      <c r="K118">
        <v>110.9</v>
      </c>
      <c r="L118">
        <f>'All_India_Index_Upto_April23 (1'!Z118+'All_India_Index_Upto_April23 (1'!AA118+'All_India_Index_Upto_April23 (1'!AB118+'All_India_Index_Upto_April23 (1'!AC118+'All_India_Index_Upto_April23 (1'!AD118</f>
        <v>610.1</v>
      </c>
      <c r="M118">
        <f t="shared" si="11"/>
        <v>3415.9</v>
      </c>
      <c r="N118">
        <f t="shared" si="12"/>
        <v>41.43856670277232</v>
      </c>
      <c r="O118">
        <f t="shared" si="13"/>
        <v>7.6026815773295464</v>
      </c>
      <c r="P118">
        <f t="shared" si="14"/>
        <v>3.9960186188120259</v>
      </c>
      <c r="Q118">
        <f t="shared" si="15"/>
        <v>11.355718844228461</v>
      </c>
      <c r="R118">
        <f t="shared" si="16"/>
        <v>7.3187154190696448</v>
      </c>
      <c r="S118">
        <f t="shared" si="17"/>
        <v>3.5832430691764983</v>
      </c>
      <c r="T118">
        <f t="shared" si="18"/>
        <v>3.5978805000146372</v>
      </c>
      <c r="U118">
        <f t="shared" si="19"/>
        <v>3.2465821598992943</v>
      </c>
      <c r="V118">
        <f t="shared" si="20"/>
        <v>17.860593108697561</v>
      </c>
      <c r="W118">
        <f t="shared" si="21"/>
        <v>99.999999999999986</v>
      </c>
    </row>
    <row r="119" spans="1:23" x14ac:dyDescent="0.3">
      <c r="A119" t="s">
        <v>30</v>
      </c>
      <c r="B119">
        <v>2016</v>
      </c>
      <c r="C119" t="s">
        <v>36</v>
      </c>
      <c r="D119">
        <f>'All_India_Index_Upto_April23 (1'!D119+'All_India_Index_Upto_April23 (1'!G119+'All_India_Index_Upto_April23 (1'!H119+'All_India_Index_Upto_April23 (1'!I119+'All_India_Index_Upto_April23 (1'!J119+'All_India_Index_Upto_April23 (1'!K119+'All_India_Index_Upto_April23 (1'!L119+'All_India_Index_Upto_April23 (1'!M119+'All_India_Index_Upto_April23 (1'!N119+'All_India_Index_Upto_April23 (1'!O119+'All_India_Index_Upto_April23 (1'!P119</f>
        <v>1442.8000000000002</v>
      </c>
      <c r="E119">
        <f>'All_India_Index_Upto_April23 (1'!E119+'All_India_Index_Upto_April23 (1'!F119</f>
        <v>258.8</v>
      </c>
      <c r="F119">
        <v>135.5</v>
      </c>
      <c r="G119">
        <f>'All_India_Index_Upto_April23 (1'!R119+'All_India_Index_Upto_April23 (1'!S119+'All_India_Index_Upto_April23 (1'!T119</f>
        <v>400</v>
      </c>
      <c r="H119">
        <f>'All_India_Index_Upto_April23 (1'!U119+'All_India_Index_Upto_April23 (1'!W119</f>
        <v>128</v>
      </c>
      <c r="I119">
        <v>127</v>
      </c>
      <c r="J119">
        <v>125.2</v>
      </c>
      <c r="K119">
        <v>114.4</v>
      </c>
      <c r="L119">
        <f>'All_India_Index_Upto_April23 (1'!Z119+'All_India_Index_Upto_April23 (1'!AA119+'All_India_Index_Upto_April23 (1'!AB119+'All_India_Index_Upto_April23 (1'!AC119+'All_India_Index_Upto_April23 (1'!AD119</f>
        <v>620.20000000000005</v>
      </c>
      <c r="M119">
        <f t="shared" si="11"/>
        <v>3351.9000000000005</v>
      </c>
      <c r="N119">
        <f t="shared" si="12"/>
        <v>43.044243563352126</v>
      </c>
      <c r="O119">
        <f t="shared" si="13"/>
        <v>7.7209940630687059</v>
      </c>
      <c r="P119">
        <f t="shared" si="14"/>
        <v>4.042483367642232</v>
      </c>
      <c r="Q119">
        <f t="shared" si="15"/>
        <v>11.933530236582236</v>
      </c>
      <c r="R119">
        <f t="shared" si="16"/>
        <v>3.8187296757063152</v>
      </c>
      <c r="S119">
        <f t="shared" si="17"/>
        <v>3.7888958501148595</v>
      </c>
      <c r="T119">
        <f t="shared" si="18"/>
        <v>3.7351949640502395</v>
      </c>
      <c r="U119">
        <f t="shared" si="19"/>
        <v>3.4129896476625192</v>
      </c>
      <c r="V119">
        <f t="shared" si="20"/>
        <v>18.502938631820758</v>
      </c>
      <c r="W119">
        <f t="shared" si="21"/>
        <v>99.999999999999986</v>
      </c>
    </row>
    <row r="120" spans="1:23" x14ac:dyDescent="0.3">
      <c r="A120" t="s">
        <v>32</v>
      </c>
      <c r="B120">
        <v>2016</v>
      </c>
      <c r="C120" t="s">
        <v>36</v>
      </c>
      <c r="D120">
        <f>'All_India_Index_Upto_April23 (1'!D120+'All_India_Index_Upto_April23 (1'!G120+'All_India_Index_Upto_April23 (1'!H120+'All_India_Index_Upto_April23 (1'!I120+'All_India_Index_Upto_April23 (1'!J120+'All_India_Index_Upto_April23 (1'!K120+'All_India_Index_Upto_April23 (1'!L120+'All_India_Index_Upto_April23 (1'!M120+'All_India_Index_Upto_April23 (1'!N120+'All_India_Index_Upto_April23 (1'!O120+'All_India_Index_Upto_April23 (1'!P120</f>
        <v>1447.1000000000001</v>
      </c>
      <c r="E120">
        <f>'All_India_Index_Upto_April23 (1'!E120+'All_India_Index_Upto_April23 (1'!F120</f>
        <v>259.20000000000005</v>
      </c>
      <c r="F120">
        <v>141.5</v>
      </c>
      <c r="G120">
        <f>'All_India_Index_Upto_April23 (1'!R120+'All_India_Index_Upto_April23 (1'!S120+'All_India_Index_Upto_April23 (1'!T120</f>
        <v>373.1</v>
      </c>
      <c r="H120">
        <f>'All_India_Index_Upto_April23 (1'!U120+'All_India_Index_Upto_April23 (1'!W120</f>
        <v>248.39999999999998</v>
      </c>
      <c r="I120">
        <v>114.6</v>
      </c>
      <c r="J120">
        <v>120</v>
      </c>
      <c r="K120">
        <v>110</v>
      </c>
      <c r="L120">
        <f>'All_India_Index_Upto_April23 (1'!Z120+'All_India_Index_Upto_April23 (1'!AA120+'All_India_Index_Upto_April23 (1'!AB120+'All_India_Index_Upto_April23 (1'!AC120+'All_India_Index_Upto_April23 (1'!AD120</f>
        <v>608.19999999999993</v>
      </c>
      <c r="M120">
        <f t="shared" si="11"/>
        <v>3422.1</v>
      </c>
      <c r="N120">
        <f t="shared" si="12"/>
        <v>42.286899856813072</v>
      </c>
      <c r="O120">
        <f t="shared" si="13"/>
        <v>7.5742964846147123</v>
      </c>
      <c r="P120">
        <f t="shared" si="14"/>
        <v>4.1348879343093419</v>
      </c>
      <c r="Q120">
        <f t="shared" si="15"/>
        <v>10.902662108062302</v>
      </c>
      <c r="R120">
        <f t="shared" si="16"/>
        <v>7.2587007977557638</v>
      </c>
      <c r="S120">
        <f t="shared" si="17"/>
        <v>3.3488208994477073</v>
      </c>
      <c r="T120">
        <f t="shared" si="18"/>
        <v>3.5066187428771807</v>
      </c>
      <c r="U120">
        <f t="shared" si="19"/>
        <v>3.2144005143040824</v>
      </c>
      <c r="V120">
        <f t="shared" si="20"/>
        <v>17.772712661815842</v>
      </c>
      <c r="W120">
        <f t="shared" si="21"/>
        <v>100</v>
      </c>
    </row>
    <row r="121" spans="1:23" x14ac:dyDescent="0.3">
      <c r="A121" t="s">
        <v>33</v>
      </c>
      <c r="B121">
        <v>2016</v>
      </c>
      <c r="C121" t="s">
        <v>36</v>
      </c>
      <c r="D121">
        <f>'All_India_Index_Upto_April23 (1'!D121+'All_India_Index_Upto_April23 (1'!G121+'All_India_Index_Upto_April23 (1'!H121+'All_India_Index_Upto_April23 (1'!I121+'All_India_Index_Upto_April23 (1'!J121+'All_India_Index_Upto_April23 (1'!K121+'All_India_Index_Upto_April23 (1'!L121+'All_India_Index_Upto_April23 (1'!M121+'All_India_Index_Upto_April23 (1'!N121+'All_India_Index_Upto_April23 (1'!O121+'All_India_Index_Upto_April23 (1'!P121</f>
        <v>1442.5</v>
      </c>
      <c r="E121">
        <f>'All_India_Index_Upto_April23 (1'!E121+'All_India_Index_Upto_April23 (1'!F121</f>
        <v>258.8</v>
      </c>
      <c r="F121">
        <v>137.1</v>
      </c>
      <c r="G121">
        <f>'All_India_Index_Upto_April23 (1'!R121+'All_India_Index_Upto_April23 (1'!S121+'All_India_Index_Upto_April23 (1'!T121</f>
        <v>389.20000000000005</v>
      </c>
      <c r="H121">
        <f>'All_India_Index_Upto_April23 (1'!U121+'All_India_Index_Upto_April23 (1'!W121</f>
        <v>251.1</v>
      </c>
      <c r="I121">
        <v>122.3</v>
      </c>
      <c r="J121">
        <v>123.2</v>
      </c>
      <c r="K121">
        <v>112.1</v>
      </c>
      <c r="L121">
        <f>'All_India_Index_Upto_April23 (1'!Z121+'All_India_Index_Upto_April23 (1'!AA121+'All_India_Index_Upto_April23 (1'!AB121+'All_India_Index_Upto_April23 (1'!AC121+'All_India_Index_Upto_April23 (1'!AD121</f>
        <v>614.19999999999993</v>
      </c>
      <c r="M121">
        <f t="shared" si="11"/>
        <v>3450.4999999999995</v>
      </c>
      <c r="N121">
        <f t="shared" si="12"/>
        <v>41.805535429647882</v>
      </c>
      <c r="O121">
        <f t="shared" si="13"/>
        <v>7.5003622663382137</v>
      </c>
      <c r="P121">
        <f t="shared" si="14"/>
        <v>3.9733371975076079</v>
      </c>
      <c r="Q121">
        <f t="shared" si="15"/>
        <v>11.279524706564269</v>
      </c>
      <c r="R121">
        <f t="shared" si="16"/>
        <v>7.2772062019997117</v>
      </c>
      <c r="S121">
        <f t="shared" si="17"/>
        <v>3.5444138530647735</v>
      </c>
      <c r="T121">
        <f t="shared" si="18"/>
        <v>3.5704970294160274</v>
      </c>
      <c r="U121">
        <f t="shared" si="19"/>
        <v>3.2488045210839012</v>
      </c>
      <c r="V121">
        <f t="shared" si="20"/>
        <v>17.800318794377628</v>
      </c>
      <c r="W121">
        <f t="shared" si="21"/>
        <v>100.00000000000003</v>
      </c>
    </row>
    <row r="122" spans="1:23" x14ac:dyDescent="0.3">
      <c r="A122" t="s">
        <v>30</v>
      </c>
      <c r="B122">
        <v>2016</v>
      </c>
      <c r="C122" t="s">
        <v>37</v>
      </c>
      <c r="D122">
        <f>'All_India_Index_Upto_April23 (1'!D122+'All_India_Index_Upto_April23 (1'!G122+'All_India_Index_Upto_April23 (1'!H122+'All_India_Index_Upto_April23 (1'!I122+'All_India_Index_Upto_April23 (1'!J122+'All_India_Index_Upto_April23 (1'!K122+'All_India_Index_Upto_April23 (1'!L122+'All_India_Index_Upto_April23 (1'!M122+'All_India_Index_Upto_April23 (1'!N122+'All_India_Index_Upto_April23 (1'!O122+'All_India_Index_Upto_April23 (1'!P122</f>
        <v>1461.7999999999997</v>
      </c>
      <c r="E122">
        <f>'All_India_Index_Upto_April23 (1'!E122+'All_India_Index_Upto_April23 (1'!F122</f>
        <v>261.89999999999998</v>
      </c>
      <c r="F122">
        <v>136</v>
      </c>
      <c r="G122">
        <f>'All_India_Index_Upto_April23 (1'!R122+'All_India_Index_Upto_April23 (1'!S122+'All_India_Index_Upto_April23 (1'!T122</f>
        <v>401.3</v>
      </c>
      <c r="H122">
        <f>'All_India_Index_Upto_April23 (1'!U122+'All_India_Index_Upto_April23 (1'!W122</f>
        <v>128.5</v>
      </c>
      <c r="I122">
        <v>127.4</v>
      </c>
      <c r="J122">
        <v>125.8</v>
      </c>
      <c r="K122">
        <v>115.1</v>
      </c>
      <c r="L122">
        <f>'All_India_Index_Upto_April23 (1'!Z122+'All_India_Index_Upto_April23 (1'!AA122+'All_India_Index_Upto_April23 (1'!AB122+'All_India_Index_Upto_April23 (1'!AC122+'All_India_Index_Upto_April23 (1'!AD122</f>
        <v>625.20000000000005</v>
      </c>
      <c r="M122">
        <f t="shared" si="11"/>
        <v>3383</v>
      </c>
      <c r="N122">
        <f t="shared" si="12"/>
        <v>43.210168489506344</v>
      </c>
      <c r="O122">
        <f t="shared" si="13"/>
        <v>7.7416494235885303</v>
      </c>
      <c r="P122">
        <f t="shared" si="14"/>
        <v>4.0201005025125625</v>
      </c>
      <c r="Q122">
        <f t="shared" si="15"/>
        <v>11.862252438663907</v>
      </c>
      <c r="R122">
        <f t="shared" si="16"/>
        <v>3.7984037836240025</v>
      </c>
      <c r="S122">
        <f t="shared" si="17"/>
        <v>3.7658882648536807</v>
      </c>
      <c r="T122">
        <f t="shared" si="18"/>
        <v>3.7185929648241203</v>
      </c>
      <c r="U122">
        <f t="shared" si="19"/>
        <v>3.4023056458764414</v>
      </c>
      <c r="V122">
        <f t="shared" si="20"/>
        <v>18.480638486550401</v>
      </c>
      <c r="W122">
        <f t="shared" si="21"/>
        <v>99.999999999999986</v>
      </c>
    </row>
    <row r="123" spans="1:23" x14ac:dyDescent="0.3">
      <c r="A123" t="s">
        <v>32</v>
      </c>
      <c r="B123">
        <v>2016</v>
      </c>
      <c r="C123" t="s">
        <v>37</v>
      </c>
      <c r="D123">
        <f>'All_India_Index_Upto_April23 (1'!D123+'All_India_Index_Upto_April23 (1'!G123+'All_India_Index_Upto_April23 (1'!H123+'All_India_Index_Upto_April23 (1'!I123+'All_India_Index_Upto_April23 (1'!J123+'All_India_Index_Upto_April23 (1'!K123+'All_India_Index_Upto_April23 (1'!L123+'All_India_Index_Upto_April23 (1'!M123+'All_India_Index_Upto_April23 (1'!N123+'All_India_Index_Upto_April23 (1'!O123+'All_India_Index_Upto_April23 (1'!P123</f>
        <v>1477.7</v>
      </c>
      <c r="E123">
        <f>'All_India_Index_Upto_April23 (1'!E123+'All_India_Index_Upto_April23 (1'!F123</f>
        <v>269.10000000000002</v>
      </c>
      <c r="F123">
        <v>142.19999999999999</v>
      </c>
      <c r="G123">
        <f>'All_India_Index_Upto_April23 (1'!R123+'All_India_Index_Upto_April23 (1'!S123+'All_India_Index_Upto_April23 (1'!T123</f>
        <v>374.1</v>
      </c>
      <c r="H123">
        <f>'All_India_Index_Upto_April23 (1'!U123+'All_India_Index_Upto_April23 (1'!W123</f>
        <v>249.2</v>
      </c>
      <c r="I123">
        <v>115</v>
      </c>
      <c r="J123">
        <v>120.3</v>
      </c>
      <c r="K123">
        <v>110.7</v>
      </c>
      <c r="L123">
        <f>'All_India_Index_Upto_April23 (1'!Z123+'All_India_Index_Upto_April23 (1'!AA123+'All_India_Index_Upto_April23 (1'!AB123+'All_India_Index_Upto_April23 (1'!AC123+'All_India_Index_Upto_April23 (1'!AD123</f>
        <v>611.6</v>
      </c>
      <c r="M123">
        <f t="shared" si="11"/>
        <v>3469.9</v>
      </c>
      <c r="N123">
        <f t="shared" si="12"/>
        <v>42.58624167843454</v>
      </c>
      <c r="O123">
        <f t="shared" si="13"/>
        <v>7.7552667223839311</v>
      </c>
      <c r="P123">
        <f t="shared" si="14"/>
        <v>4.0981008098216076</v>
      </c>
      <c r="Q123">
        <f t="shared" si="15"/>
        <v>10.781290527104529</v>
      </c>
      <c r="R123">
        <f t="shared" si="16"/>
        <v>7.1817631632035503</v>
      </c>
      <c r="S123">
        <f t="shared" si="17"/>
        <v>3.3142165480273205</v>
      </c>
      <c r="T123">
        <f t="shared" si="18"/>
        <v>3.466958701979884</v>
      </c>
      <c r="U123">
        <f t="shared" si="19"/>
        <v>3.1902936684054293</v>
      </c>
      <c r="V123">
        <f t="shared" si="20"/>
        <v>17.625868180639213</v>
      </c>
      <c r="W123">
        <f t="shared" si="21"/>
        <v>100</v>
      </c>
    </row>
    <row r="124" spans="1:23" x14ac:dyDescent="0.3">
      <c r="A124" t="s">
        <v>33</v>
      </c>
      <c r="B124">
        <v>2016</v>
      </c>
      <c r="C124" t="s">
        <v>37</v>
      </c>
      <c r="D124">
        <f>'All_India_Index_Upto_April23 (1'!D124+'All_India_Index_Upto_April23 (1'!G124+'All_India_Index_Upto_April23 (1'!H124+'All_India_Index_Upto_April23 (1'!I124+'All_India_Index_Upto_April23 (1'!J124+'All_India_Index_Upto_April23 (1'!K124+'All_India_Index_Upto_April23 (1'!L124+'All_India_Index_Upto_April23 (1'!M124+'All_India_Index_Upto_April23 (1'!N124+'All_India_Index_Upto_April23 (1'!O124+'All_India_Index_Upto_April23 (1'!P124</f>
        <v>1465.9</v>
      </c>
      <c r="E124">
        <f>'All_India_Index_Upto_April23 (1'!E124+'All_India_Index_Upto_April23 (1'!F124</f>
        <v>264.5</v>
      </c>
      <c r="F124">
        <v>137.69999999999999</v>
      </c>
      <c r="G124">
        <f>'All_India_Index_Upto_April23 (1'!R124+'All_India_Index_Upto_April23 (1'!S124+'All_India_Index_Upto_April23 (1'!T124</f>
        <v>390.4</v>
      </c>
      <c r="H124">
        <f>'All_India_Index_Upto_April23 (1'!U124+'All_India_Index_Upto_April23 (1'!W124</f>
        <v>252</v>
      </c>
      <c r="I124">
        <v>122.7</v>
      </c>
      <c r="J124">
        <v>123.7</v>
      </c>
      <c r="K124">
        <v>112.8</v>
      </c>
      <c r="L124">
        <f>'All_India_Index_Upto_April23 (1'!Z124+'All_India_Index_Upto_April23 (1'!AA124+'All_India_Index_Upto_April23 (1'!AB124+'All_India_Index_Upto_April23 (1'!AC124+'All_India_Index_Upto_April23 (1'!AD124</f>
        <v>618.5</v>
      </c>
      <c r="M124">
        <f t="shared" si="11"/>
        <v>3488.2</v>
      </c>
      <c r="N124">
        <f t="shared" si="12"/>
        <v>42.024539877300619</v>
      </c>
      <c r="O124">
        <f t="shared" si="13"/>
        <v>7.5827074135657373</v>
      </c>
      <c r="P124">
        <f t="shared" si="14"/>
        <v>3.9475947480075684</v>
      </c>
      <c r="Q124">
        <f t="shared" si="15"/>
        <v>11.192018806261109</v>
      </c>
      <c r="R124">
        <f t="shared" si="16"/>
        <v>7.2243564015824786</v>
      </c>
      <c r="S124">
        <f t="shared" si="17"/>
        <v>3.517573533627659</v>
      </c>
      <c r="T124">
        <f t="shared" si="18"/>
        <v>3.5462416145863198</v>
      </c>
      <c r="U124">
        <f t="shared" si="19"/>
        <v>3.2337595321369186</v>
      </c>
      <c r="V124">
        <f t="shared" si="20"/>
        <v>17.731208072931597</v>
      </c>
      <c r="W124">
        <f t="shared" si="21"/>
        <v>100</v>
      </c>
    </row>
    <row r="125" spans="1:23" x14ac:dyDescent="0.3">
      <c r="A125" t="s">
        <v>30</v>
      </c>
      <c r="B125">
        <v>2016</v>
      </c>
      <c r="C125" t="s">
        <v>38</v>
      </c>
      <c r="D125">
        <f>'All_India_Index_Upto_April23 (1'!D125+'All_India_Index_Upto_April23 (1'!G125+'All_India_Index_Upto_April23 (1'!H125+'All_India_Index_Upto_April23 (1'!I125+'All_India_Index_Upto_April23 (1'!J125+'All_India_Index_Upto_April23 (1'!K125+'All_India_Index_Upto_April23 (1'!L125+'All_India_Index_Upto_April23 (1'!M125+'All_India_Index_Upto_April23 (1'!N125+'All_India_Index_Upto_April23 (1'!O125+'All_India_Index_Upto_April23 (1'!P125</f>
        <v>1483.3999999999999</v>
      </c>
      <c r="E125">
        <f>'All_India_Index_Upto_April23 (1'!E125+'All_India_Index_Upto_April23 (1'!F125</f>
        <v>265.2</v>
      </c>
      <c r="F125">
        <v>137.19999999999999</v>
      </c>
      <c r="G125">
        <f>'All_India_Index_Upto_April23 (1'!R125+'All_India_Index_Upto_April23 (1'!S125+'All_India_Index_Upto_April23 (1'!T125</f>
        <v>403.5</v>
      </c>
      <c r="H125">
        <f>'All_India_Index_Upto_April23 (1'!U125+'All_India_Index_Upto_April23 (1'!W125</f>
        <v>129.30000000000001</v>
      </c>
      <c r="I125">
        <v>128</v>
      </c>
      <c r="J125">
        <v>126.2</v>
      </c>
      <c r="K125">
        <v>116.3</v>
      </c>
      <c r="L125">
        <f>'All_India_Index_Upto_April23 (1'!Z125+'All_India_Index_Upto_April23 (1'!AA125+'All_India_Index_Upto_April23 (1'!AB125+'All_India_Index_Upto_April23 (1'!AC125+'All_India_Index_Upto_April23 (1'!AD125</f>
        <v>629.4</v>
      </c>
      <c r="M125">
        <f t="shared" si="11"/>
        <v>3418.5000000000005</v>
      </c>
      <c r="N125">
        <f t="shared" si="12"/>
        <v>43.393301155477538</v>
      </c>
      <c r="O125">
        <f t="shared" si="13"/>
        <v>7.7577885037297039</v>
      </c>
      <c r="P125">
        <f t="shared" si="14"/>
        <v>4.0134561942372375</v>
      </c>
      <c r="Q125">
        <f t="shared" si="15"/>
        <v>11.803422553751645</v>
      </c>
      <c r="R125">
        <f t="shared" si="16"/>
        <v>3.78236068451075</v>
      </c>
      <c r="S125">
        <f t="shared" si="17"/>
        <v>3.7443323094924672</v>
      </c>
      <c r="T125">
        <f t="shared" si="18"/>
        <v>3.6916776363902297</v>
      </c>
      <c r="U125">
        <f t="shared" si="19"/>
        <v>3.4020769343279209</v>
      </c>
      <c r="V125">
        <f t="shared" si="20"/>
        <v>18.411584028082491</v>
      </c>
      <c r="W125">
        <f t="shared" si="21"/>
        <v>99.999999999999972</v>
      </c>
    </row>
    <row r="126" spans="1:23" x14ac:dyDescent="0.3">
      <c r="A126" t="s">
        <v>32</v>
      </c>
      <c r="B126">
        <v>2016</v>
      </c>
      <c r="C126" t="s">
        <v>38</v>
      </c>
      <c r="D126">
        <f>'All_India_Index_Upto_April23 (1'!D126+'All_India_Index_Upto_April23 (1'!G126+'All_India_Index_Upto_April23 (1'!H126+'All_India_Index_Upto_April23 (1'!I126+'All_India_Index_Upto_April23 (1'!J126+'All_India_Index_Upto_April23 (1'!K126+'All_India_Index_Upto_April23 (1'!L126+'All_India_Index_Upto_April23 (1'!M126+'All_India_Index_Upto_April23 (1'!N126+'All_India_Index_Upto_April23 (1'!O126+'All_India_Index_Upto_April23 (1'!P126</f>
        <v>1512.2</v>
      </c>
      <c r="E126">
        <f>'All_India_Index_Upto_April23 (1'!E126+'All_India_Index_Upto_April23 (1'!F126</f>
        <v>274.8</v>
      </c>
      <c r="F126">
        <v>142.69999999999999</v>
      </c>
      <c r="G126">
        <f>'All_India_Index_Upto_April23 (1'!R126+'All_India_Index_Upto_April23 (1'!S126+'All_India_Index_Upto_April23 (1'!T126</f>
        <v>375.29999999999995</v>
      </c>
      <c r="H126">
        <f>'All_India_Index_Upto_April23 (1'!U126+'All_India_Index_Upto_April23 (1'!W126</f>
        <v>248.7</v>
      </c>
      <c r="I126">
        <v>115.5</v>
      </c>
      <c r="J126">
        <v>120.6</v>
      </c>
      <c r="K126">
        <v>112.3</v>
      </c>
      <c r="L126">
        <f>'All_India_Index_Upto_April23 (1'!Z126+'All_India_Index_Upto_April23 (1'!AA126+'All_India_Index_Upto_April23 (1'!AB126+'All_India_Index_Upto_April23 (1'!AC126+'All_India_Index_Upto_April23 (1'!AD126</f>
        <v>615.70000000000005</v>
      </c>
      <c r="M126">
        <f t="shared" si="11"/>
        <v>3517.8</v>
      </c>
      <c r="N126">
        <f t="shared" si="12"/>
        <v>42.9870942066064</v>
      </c>
      <c r="O126">
        <f t="shared" si="13"/>
        <v>7.8117004946273241</v>
      </c>
      <c r="P126">
        <f t="shared" si="14"/>
        <v>4.0565125930979589</v>
      </c>
      <c r="Q126">
        <f t="shared" si="15"/>
        <v>10.668599692989936</v>
      </c>
      <c r="R126">
        <f t="shared" si="16"/>
        <v>7.0697595087838989</v>
      </c>
      <c r="S126">
        <f t="shared" si="17"/>
        <v>3.2833020637898684</v>
      </c>
      <c r="T126">
        <f t="shared" si="18"/>
        <v>3.4282790380351353</v>
      </c>
      <c r="U126">
        <f t="shared" si="19"/>
        <v>3.192336119165387</v>
      </c>
      <c r="V126">
        <f t="shared" si="20"/>
        <v>17.502416282904086</v>
      </c>
      <c r="W126">
        <f t="shared" si="21"/>
        <v>100</v>
      </c>
    </row>
    <row r="127" spans="1:23" x14ac:dyDescent="0.3">
      <c r="A127" t="s">
        <v>33</v>
      </c>
      <c r="B127">
        <v>2016</v>
      </c>
      <c r="C127" t="s">
        <v>38</v>
      </c>
      <c r="D127">
        <f>'All_India_Index_Upto_April23 (1'!D127+'All_India_Index_Upto_April23 (1'!G127+'All_India_Index_Upto_April23 (1'!H127+'All_India_Index_Upto_April23 (1'!I127+'All_India_Index_Upto_April23 (1'!J127+'All_India_Index_Upto_April23 (1'!K127+'All_India_Index_Upto_April23 (1'!L127+'All_India_Index_Upto_April23 (1'!M127+'All_India_Index_Upto_April23 (1'!N127+'All_India_Index_Upto_April23 (1'!O127+'All_India_Index_Upto_April23 (1'!P127</f>
        <v>1491.8</v>
      </c>
      <c r="E127">
        <f>'All_India_Index_Upto_April23 (1'!E127+'All_India_Index_Upto_April23 (1'!F127</f>
        <v>268.8</v>
      </c>
      <c r="F127">
        <v>138.69999999999999</v>
      </c>
      <c r="G127">
        <f>'All_India_Index_Upto_April23 (1'!R127+'All_India_Index_Upto_April23 (1'!S127+'All_India_Index_Upto_April23 (1'!T127</f>
        <v>392.1</v>
      </c>
      <c r="H127">
        <f>'All_India_Index_Upto_April23 (1'!U127+'All_India_Index_Upto_April23 (1'!W127</f>
        <v>251.9</v>
      </c>
      <c r="I127">
        <v>123.3</v>
      </c>
      <c r="J127">
        <v>124.1</v>
      </c>
      <c r="K127">
        <v>114.2</v>
      </c>
      <c r="L127">
        <f>'All_India_Index_Upto_April23 (1'!Z127+'All_India_Index_Upto_April23 (1'!AA127+'All_India_Index_Upto_April23 (1'!AB127+'All_India_Index_Upto_April23 (1'!AC127+'All_India_Index_Upto_April23 (1'!AD127</f>
        <v>622.4</v>
      </c>
      <c r="M127">
        <f t="shared" si="11"/>
        <v>3527.3</v>
      </c>
      <c r="N127">
        <f t="shared" si="12"/>
        <v>42.292971961556994</v>
      </c>
      <c r="O127">
        <f t="shared" si="13"/>
        <v>7.6205596348481839</v>
      </c>
      <c r="P127">
        <f t="shared" si="14"/>
        <v>3.9321860913446542</v>
      </c>
      <c r="Q127">
        <f t="shared" si="15"/>
        <v>11.11615116377966</v>
      </c>
      <c r="R127">
        <f t="shared" si="16"/>
        <v>7.1414396280441137</v>
      </c>
      <c r="S127">
        <f t="shared" si="17"/>
        <v>3.495591528931477</v>
      </c>
      <c r="T127">
        <f t="shared" si="18"/>
        <v>3.5182717659399536</v>
      </c>
      <c r="U127">
        <f t="shared" si="19"/>
        <v>3.2376038329600543</v>
      </c>
      <c r="V127">
        <f t="shared" si="20"/>
        <v>17.645224392594901</v>
      </c>
      <c r="W127">
        <f t="shared" si="21"/>
        <v>99.999999999999972</v>
      </c>
    </row>
    <row r="128" spans="1:23" x14ac:dyDescent="0.3">
      <c r="A128" t="s">
        <v>30</v>
      </c>
      <c r="B128">
        <v>2016</v>
      </c>
      <c r="C128" t="s">
        <v>39</v>
      </c>
      <c r="D128">
        <f>'All_India_Index_Upto_April23 (1'!D128+'All_India_Index_Upto_April23 (1'!G128+'All_India_Index_Upto_April23 (1'!H128+'All_India_Index_Upto_April23 (1'!I128+'All_India_Index_Upto_April23 (1'!J128+'All_India_Index_Upto_April23 (1'!K128+'All_India_Index_Upto_April23 (1'!L128+'All_India_Index_Upto_April23 (1'!M128+'All_India_Index_Upto_April23 (1'!N128+'All_India_Index_Upto_April23 (1'!O128+'All_India_Index_Upto_April23 (1'!P128</f>
        <v>1501.1999999999998</v>
      </c>
      <c r="E128">
        <f>'All_India_Index_Upto_April23 (1'!E128+'All_India_Index_Upto_April23 (1'!F128</f>
        <v>269.10000000000002</v>
      </c>
      <c r="F128">
        <v>138</v>
      </c>
      <c r="G128">
        <f>'All_India_Index_Upto_April23 (1'!R128+'All_India_Index_Upto_April23 (1'!S128+'All_India_Index_Upto_April23 (1'!T128</f>
        <v>405.9</v>
      </c>
      <c r="H128">
        <f>'All_India_Index_Upto_April23 (1'!U128+'All_India_Index_Upto_April23 (1'!W128</f>
        <v>130</v>
      </c>
      <c r="I128">
        <v>128.19999999999999</v>
      </c>
      <c r="J128">
        <v>126.7</v>
      </c>
      <c r="K128">
        <v>116.4</v>
      </c>
      <c r="L128">
        <f>'All_India_Index_Upto_April23 (1'!Z128+'All_India_Index_Upto_April23 (1'!AA128+'All_India_Index_Upto_April23 (1'!AB128+'All_India_Index_Upto_April23 (1'!AC128+'All_India_Index_Upto_April23 (1'!AD128</f>
        <v>633.70000000000005</v>
      </c>
      <c r="M128">
        <f t="shared" si="11"/>
        <v>3449.2</v>
      </c>
      <c r="N128">
        <f t="shared" si="12"/>
        <v>43.523135799605697</v>
      </c>
      <c r="O128">
        <f t="shared" si="13"/>
        <v>7.8018091151571394</v>
      </c>
      <c r="P128">
        <f t="shared" si="14"/>
        <v>4.0009277513626351</v>
      </c>
      <c r="Q128">
        <f t="shared" si="15"/>
        <v>11.767946190420966</v>
      </c>
      <c r="R128">
        <f t="shared" si="16"/>
        <v>3.7689899107039313</v>
      </c>
      <c r="S128">
        <f t="shared" si="17"/>
        <v>3.7168038965557231</v>
      </c>
      <c r="T128">
        <f t="shared" si="18"/>
        <v>3.6733155514322164</v>
      </c>
      <c r="U128">
        <f t="shared" si="19"/>
        <v>3.3746955815841355</v>
      </c>
      <c r="V128">
        <f t="shared" si="20"/>
        <v>18.372376203177552</v>
      </c>
      <c r="W128">
        <f t="shared" si="21"/>
        <v>100</v>
      </c>
    </row>
    <row r="129" spans="1:23" x14ac:dyDescent="0.3">
      <c r="A129" t="s">
        <v>32</v>
      </c>
      <c r="B129">
        <v>2016</v>
      </c>
      <c r="C129" t="s">
        <v>39</v>
      </c>
      <c r="D129">
        <f>'All_India_Index_Upto_April23 (1'!D129+'All_India_Index_Upto_April23 (1'!G129+'All_India_Index_Upto_April23 (1'!H129+'All_India_Index_Upto_April23 (1'!I129+'All_India_Index_Upto_April23 (1'!J129+'All_India_Index_Upto_April23 (1'!K129+'All_India_Index_Upto_April23 (1'!L129+'All_India_Index_Upto_April23 (1'!M129+'All_India_Index_Upto_April23 (1'!N129+'All_India_Index_Upto_April23 (1'!O129+'All_India_Index_Upto_April23 (1'!P129</f>
        <v>1530.7</v>
      </c>
      <c r="E129">
        <f>'All_India_Index_Upto_April23 (1'!E129+'All_India_Index_Upto_April23 (1'!F129</f>
        <v>280.79999999999995</v>
      </c>
      <c r="F129">
        <v>142.9</v>
      </c>
      <c r="G129">
        <f>'All_India_Index_Upto_April23 (1'!R129+'All_India_Index_Upto_April23 (1'!S129+'All_India_Index_Upto_April23 (1'!T129</f>
        <v>375.9</v>
      </c>
      <c r="H129">
        <f>'All_India_Index_Upto_April23 (1'!U129+'All_India_Index_Upto_April23 (1'!W129</f>
        <v>249.9</v>
      </c>
      <c r="I129">
        <v>115.5</v>
      </c>
      <c r="J129">
        <v>120.9</v>
      </c>
      <c r="K129">
        <v>111.7</v>
      </c>
      <c r="L129">
        <f>'All_India_Index_Upto_April23 (1'!Z129+'All_India_Index_Upto_April23 (1'!AA129+'All_India_Index_Upto_April23 (1'!AB129+'All_India_Index_Upto_April23 (1'!AC129+'All_India_Index_Upto_April23 (1'!AD129</f>
        <v>620</v>
      </c>
      <c r="M129">
        <f t="shared" si="11"/>
        <v>3548.3</v>
      </c>
      <c r="N129">
        <f t="shared" si="12"/>
        <v>43.138967956486205</v>
      </c>
      <c r="O129">
        <f t="shared" si="13"/>
        <v>7.9136487895611962</v>
      </c>
      <c r="P129">
        <f t="shared" si="14"/>
        <v>4.0272806696164354</v>
      </c>
      <c r="Q129">
        <f t="shared" si="15"/>
        <v>10.593805484316432</v>
      </c>
      <c r="R129">
        <f t="shared" si="16"/>
        <v>7.0428092325902538</v>
      </c>
      <c r="S129">
        <f t="shared" si="17"/>
        <v>3.2550798974156638</v>
      </c>
      <c r="T129">
        <f t="shared" si="18"/>
        <v>3.4072654510610714</v>
      </c>
      <c r="U129">
        <f t="shared" si="19"/>
        <v>3.1479863596651918</v>
      </c>
      <c r="V129">
        <f t="shared" si="20"/>
        <v>17.473156159287544</v>
      </c>
      <c r="W129">
        <f t="shared" si="21"/>
        <v>100</v>
      </c>
    </row>
    <row r="130" spans="1:23" x14ac:dyDescent="0.3">
      <c r="A130" t="s">
        <v>33</v>
      </c>
      <c r="B130">
        <v>2016</v>
      </c>
      <c r="C130" t="s">
        <v>39</v>
      </c>
      <c r="D130">
        <f>'All_India_Index_Upto_April23 (1'!D130+'All_India_Index_Upto_April23 (1'!G130+'All_India_Index_Upto_April23 (1'!H130+'All_India_Index_Upto_April23 (1'!I130+'All_India_Index_Upto_April23 (1'!J130+'All_India_Index_Upto_April23 (1'!K130+'All_India_Index_Upto_April23 (1'!L130+'All_India_Index_Upto_April23 (1'!M130+'All_India_Index_Upto_April23 (1'!N130+'All_India_Index_Upto_April23 (1'!O130+'All_India_Index_Upto_April23 (1'!P130</f>
        <v>1510</v>
      </c>
      <c r="E130">
        <f>'All_India_Index_Upto_April23 (1'!E130+'All_India_Index_Upto_April23 (1'!F130</f>
        <v>273.5</v>
      </c>
      <c r="F130">
        <v>139.30000000000001</v>
      </c>
      <c r="G130">
        <f>'All_India_Index_Upto_April23 (1'!R130+'All_India_Index_Upto_April23 (1'!S130+'All_India_Index_Upto_April23 (1'!T130</f>
        <v>393.8</v>
      </c>
      <c r="H130">
        <f>'All_India_Index_Upto_April23 (1'!U130+'All_India_Index_Upto_April23 (1'!W130</f>
        <v>253.3</v>
      </c>
      <c r="I130">
        <v>123.4</v>
      </c>
      <c r="J130">
        <v>124.5</v>
      </c>
      <c r="K130">
        <v>113.9</v>
      </c>
      <c r="L130">
        <f>'All_India_Index_Upto_April23 (1'!Z130+'All_India_Index_Upto_April23 (1'!AA130+'All_India_Index_Upto_April23 (1'!AB130+'All_India_Index_Upto_April23 (1'!AC130+'All_India_Index_Upto_April23 (1'!AD130</f>
        <v>626.70000000000005</v>
      </c>
      <c r="M130">
        <f t="shared" si="11"/>
        <v>3558.4000000000005</v>
      </c>
      <c r="N130">
        <f t="shared" si="12"/>
        <v>42.434802158273378</v>
      </c>
      <c r="O130">
        <f t="shared" si="13"/>
        <v>7.6860386690647475</v>
      </c>
      <c r="P130">
        <f t="shared" si="14"/>
        <v>3.9146807553956831</v>
      </c>
      <c r="Q130">
        <f t="shared" si="15"/>
        <v>11.066771582733811</v>
      </c>
      <c r="R130">
        <f t="shared" si="16"/>
        <v>7.118367805755395</v>
      </c>
      <c r="S130">
        <f t="shared" si="17"/>
        <v>3.4678507194244603</v>
      </c>
      <c r="T130">
        <f t="shared" si="18"/>
        <v>3.4987634892086326</v>
      </c>
      <c r="U130">
        <f t="shared" si="19"/>
        <v>3.200876798561151</v>
      </c>
      <c r="V130">
        <f t="shared" si="20"/>
        <v>17.61184802158273</v>
      </c>
      <c r="W130">
        <f t="shared" si="21"/>
        <v>100</v>
      </c>
    </row>
    <row r="131" spans="1:23" x14ac:dyDescent="0.3">
      <c r="A131" t="s">
        <v>30</v>
      </c>
      <c r="B131">
        <v>2016</v>
      </c>
      <c r="C131" t="s">
        <v>40</v>
      </c>
      <c r="D131">
        <f>'All_India_Index_Upto_April23 (1'!D131+'All_India_Index_Upto_April23 (1'!G131+'All_India_Index_Upto_April23 (1'!H131+'All_India_Index_Upto_April23 (1'!I131+'All_India_Index_Upto_April23 (1'!J131+'All_India_Index_Upto_April23 (1'!K131+'All_India_Index_Upto_April23 (1'!L131+'All_India_Index_Upto_April23 (1'!M131+'All_India_Index_Upto_April23 (1'!N131+'All_India_Index_Upto_April23 (1'!O131+'All_India_Index_Upto_April23 (1'!P131</f>
        <v>1508.3999999999999</v>
      </c>
      <c r="E131">
        <f>'All_India_Index_Upto_April23 (1'!E131+'All_India_Index_Upto_April23 (1'!F131</f>
        <v>269.10000000000002</v>
      </c>
      <c r="F131">
        <v>138.9</v>
      </c>
      <c r="G131">
        <f>'All_India_Index_Upto_April23 (1'!R131+'All_India_Index_Upto_April23 (1'!S131+'All_India_Index_Upto_April23 (1'!T131</f>
        <v>407.9</v>
      </c>
      <c r="H131">
        <f>'All_India_Index_Upto_April23 (1'!U131+'All_India_Index_Upto_April23 (1'!W131</f>
        <v>130.6</v>
      </c>
      <c r="I131">
        <v>129.1</v>
      </c>
      <c r="J131">
        <v>127</v>
      </c>
      <c r="K131">
        <v>116</v>
      </c>
      <c r="L131">
        <f>'All_India_Index_Upto_April23 (1'!Z131+'All_India_Index_Upto_April23 (1'!AA131+'All_India_Index_Upto_April23 (1'!AB131+'All_India_Index_Upto_April23 (1'!AC131+'All_India_Index_Upto_April23 (1'!AD131</f>
        <v>637.09999999999991</v>
      </c>
      <c r="M131">
        <f t="shared" ref="M131:M194" si="22">D131+E131+F131+G131+H131+I131+J131+K131+L131</f>
        <v>3464.1</v>
      </c>
      <c r="N131">
        <f t="shared" ref="N131:N194" si="23">D131/M131*100</f>
        <v>43.543777604572611</v>
      </c>
      <c r="O131">
        <f t="shared" ref="O131:O194" si="24">E131/M131*100</f>
        <v>7.7682514938945193</v>
      </c>
      <c r="P131">
        <f t="shared" ref="P131:P194" si="25">F131/M131*100</f>
        <v>4.0096994890447739</v>
      </c>
      <c r="Q131">
        <f t="shared" ref="Q131:Q194" si="26">G131/M131*100</f>
        <v>11.775064230247393</v>
      </c>
      <c r="R131">
        <f t="shared" ref="R131:R194" si="27">H131/M131*100</f>
        <v>3.770099015617332</v>
      </c>
      <c r="S131">
        <f t="shared" ref="S131:S194" si="28">I131/M131*100</f>
        <v>3.7267977252388782</v>
      </c>
      <c r="T131">
        <f t="shared" ref="T131:T194" si="29">J131/M131*100</f>
        <v>3.6661759187090444</v>
      </c>
      <c r="U131">
        <f t="shared" ref="U131:U194" si="30">K131/M131*100</f>
        <v>3.3486331226003871</v>
      </c>
      <c r="V131">
        <f t="shared" ref="V131:V194" si="31">L131/M131*100</f>
        <v>18.391501400075054</v>
      </c>
      <c r="W131">
        <f t="shared" ref="W131:W194" si="32">N131+O131+P131+Q131+R131+S131+T131+U131+V131</f>
        <v>100</v>
      </c>
    </row>
    <row r="132" spans="1:23" x14ac:dyDescent="0.3">
      <c r="A132" t="s">
        <v>32</v>
      </c>
      <c r="B132">
        <v>2016</v>
      </c>
      <c r="C132" t="s">
        <v>40</v>
      </c>
      <c r="D132">
        <f>'All_India_Index_Upto_April23 (1'!D132+'All_India_Index_Upto_April23 (1'!G132+'All_India_Index_Upto_April23 (1'!H132+'All_India_Index_Upto_April23 (1'!I132+'All_India_Index_Upto_April23 (1'!J132+'All_India_Index_Upto_April23 (1'!K132+'All_India_Index_Upto_April23 (1'!L132+'All_India_Index_Upto_April23 (1'!M132+'All_India_Index_Upto_April23 (1'!N132+'All_India_Index_Upto_April23 (1'!O132+'All_India_Index_Upto_April23 (1'!P132</f>
        <v>1510</v>
      </c>
      <c r="E132">
        <f>'All_India_Index_Upto_April23 (1'!E132+'All_India_Index_Upto_April23 (1'!F132</f>
        <v>274</v>
      </c>
      <c r="F132">
        <v>143.6</v>
      </c>
      <c r="G132">
        <f>'All_India_Index_Upto_April23 (1'!R132+'All_India_Index_Upto_April23 (1'!S132+'All_India_Index_Upto_April23 (1'!T132</f>
        <v>377</v>
      </c>
      <c r="H132">
        <f>'All_India_Index_Upto_April23 (1'!U132+'All_India_Index_Upto_April23 (1'!W132</f>
        <v>251.2</v>
      </c>
      <c r="I132">
        <v>114.7</v>
      </c>
      <c r="J132">
        <v>121.2</v>
      </c>
      <c r="K132">
        <v>110.4</v>
      </c>
      <c r="L132">
        <f>'All_India_Index_Upto_April23 (1'!Z132+'All_India_Index_Upto_April23 (1'!AA132+'All_India_Index_Upto_April23 (1'!AB132+'All_India_Index_Upto_April23 (1'!AC132+'All_India_Index_Upto_April23 (1'!AD132</f>
        <v>621.29999999999995</v>
      </c>
      <c r="M132">
        <f t="shared" si="22"/>
        <v>3523.3999999999996</v>
      </c>
      <c r="N132">
        <f t="shared" si="23"/>
        <v>42.856331952091736</v>
      </c>
      <c r="O132">
        <f t="shared" si="24"/>
        <v>7.7765794403133341</v>
      </c>
      <c r="P132">
        <f t="shared" si="25"/>
        <v>4.0756087869671349</v>
      </c>
      <c r="Q132">
        <f t="shared" si="26"/>
        <v>10.699892149628202</v>
      </c>
      <c r="R132">
        <f t="shared" si="27"/>
        <v>7.1294772095135377</v>
      </c>
      <c r="S132">
        <f t="shared" si="28"/>
        <v>3.255378327751604</v>
      </c>
      <c r="T132">
        <f t="shared" si="29"/>
        <v>3.439859226883125</v>
      </c>
      <c r="U132">
        <f t="shared" si="30"/>
        <v>3.1333371175569056</v>
      </c>
      <c r="V132">
        <f t="shared" si="31"/>
        <v>17.633535789294434</v>
      </c>
      <c r="W132">
        <f t="shared" si="32"/>
        <v>100.00000000000003</v>
      </c>
    </row>
    <row r="133" spans="1:23" x14ac:dyDescent="0.3">
      <c r="A133" t="s">
        <v>33</v>
      </c>
      <c r="B133">
        <v>2016</v>
      </c>
      <c r="C133" t="s">
        <v>40</v>
      </c>
      <c r="D133">
        <f>'All_India_Index_Upto_April23 (1'!D133+'All_India_Index_Upto_April23 (1'!G133+'All_India_Index_Upto_April23 (1'!H133+'All_India_Index_Upto_April23 (1'!I133+'All_India_Index_Upto_April23 (1'!J133+'All_India_Index_Upto_April23 (1'!K133+'All_India_Index_Upto_April23 (1'!L133+'All_India_Index_Upto_April23 (1'!M133+'All_India_Index_Upto_April23 (1'!N133+'All_India_Index_Upto_April23 (1'!O133+'All_India_Index_Upto_April23 (1'!P133</f>
        <v>1507</v>
      </c>
      <c r="E133">
        <f>'All_India_Index_Upto_April23 (1'!E133+'All_India_Index_Upto_April23 (1'!F133</f>
        <v>270.89999999999998</v>
      </c>
      <c r="F133">
        <v>140.19999999999999</v>
      </c>
      <c r="G133">
        <f>'All_India_Index_Upto_April23 (1'!R133+'All_India_Index_Upto_April23 (1'!S133+'All_India_Index_Upto_April23 (1'!T133</f>
        <v>395.49999999999994</v>
      </c>
      <c r="H133">
        <f>'All_India_Index_Upto_April23 (1'!U133+'All_India_Index_Upto_April23 (1'!W133</f>
        <v>254.7</v>
      </c>
      <c r="I133">
        <v>123.6</v>
      </c>
      <c r="J133">
        <v>124.8</v>
      </c>
      <c r="K133">
        <v>113.1</v>
      </c>
      <c r="L133">
        <f>'All_India_Index_Upto_April23 (1'!Z133+'All_India_Index_Upto_April23 (1'!AA133+'All_India_Index_Upto_April23 (1'!AB133+'All_India_Index_Upto_April23 (1'!AC133+'All_India_Index_Upto_April23 (1'!AD133</f>
        <v>629.1</v>
      </c>
      <c r="M133">
        <f t="shared" si="22"/>
        <v>3558.8999999999996</v>
      </c>
      <c r="N133">
        <f t="shared" si="23"/>
        <v>42.344544662676675</v>
      </c>
      <c r="O133">
        <f t="shared" si="24"/>
        <v>7.6119025541599941</v>
      </c>
      <c r="P133">
        <f t="shared" si="25"/>
        <v>3.9394194835482876</v>
      </c>
      <c r="Q133">
        <f t="shared" si="26"/>
        <v>11.11298434909663</v>
      </c>
      <c r="R133">
        <f t="shared" si="27"/>
        <v>7.1567057236786651</v>
      </c>
      <c r="S133">
        <f t="shared" si="28"/>
        <v>3.4729832251538397</v>
      </c>
      <c r="T133">
        <f t="shared" si="29"/>
        <v>3.5067015088931974</v>
      </c>
      <c r="U133">
        <f t="shared" si="30"/>
        <v>3.1779482424344607</v>
      </c>
      <c r="V133">
        <f t="shared" si="31"/>
        <v>17.676810250358262</v>
      </c>
      <c r="W133">
        <f t="shared" si="32"/>
        <v>100.00000000000001</v>
      </c>
    </row>
    <row r="134" spans="1:23" x14ac:dyDescent="0.3">
      <c r="A134" t="s">
        <v>30</v>
      </c>
      <c r="B134">
        <v>2016</v>
      </c>
      <c r="C134" t="s">
        <v>41</v>
      </c>
      <c r="D134">
        <f>'All_India_Index_Upto_April23 (1'!D134+'All_India_Index_Upto_April23 (1'!G134+'All_India_Index_Upto_April23 (1'!H134+'All_India_Index_Upto_April23 (1'!I134+'All_India_Index_Upto_April23 (1'!J134+'All_India_Index_Upto_April23 (1'!K134+'All_India_Index_Upto_April23 (1'!L134+'All_India_Index_Upto_April23 (1'!M134+'All_India_Index_Upto_April23 (1'!N134+'All_India_Index_Upto_April23 (1'!O134+'All_India_Index_Upto_April23 (1'!P134</f>
        <v>1502</v>
      </c>
      <c r="E134">
        <f>'All_India_Index_Upto_April23 (1'!E134+'All_India_Index_Upto_April23 (1'!F134</f>
        <v>268.7</v>
      </c>
      <c r="F134">
        <v>139.9</v>
      </c>
      <c r="G134">
        <f>'All_India_Index_Upto_April23 (1'!R134+'All_India_Index_Upto_April23 (1'!S134+'All_India_Index_Upto_April23 (1'!T134</f>
        <v>409.8</v>
      </c>
      <c r="H134">
        <f>'All_India_Index_Upto_April23 (1'!U134+'All_India_Index_Upto_April23 (1'!W134</f>
        <v>131.1</v>
      </c>
      <c r="I134">
        <v>129.69999999999999</v>
      </c>
      <c r="J134">
        <v>127.8</v>
      </c>
      <c r="K134">
        <v>117</v>
      </c>
      <c r="L134">
        <f>'All_India_Index_Upto_April23 (1'!Z134+'All_India_Index_Upto_April23 (1'!AA134+'All_India_Index_Upto_April23 (1'!AB134+'All_India_Index_Upto_April23 (1'!AC134+'All_India_Index_Upto_April23 (1'!AD134</f>
        <v>639</v>
      </c>
      <c r="M134">
        <f t="shared" si="22"/>
        <v>3465</v>
      </c>
      <c r="N134">
        <f t="shared" si="23"/>
        <v>43.347763347763347</v>
      </c>
      <c r="O134">
        <f t="shared" si="24"/>
        <v>7.7546897546897542</v>
      </c>
      <c r="P134">
        <f t="shared" si="25"/>
        <v>4.0375180375180379</v>
      </c>
      <c r="Q134">
        <f t="shared" si="26"/>
        <v>11.826839826839826</v>
      </c>
      <c r="R134">
        <f t="shared" si="27"/>
        <v>3.7835497835497831</v>
      </c>
      <c r="S134">
        <f t="shared" si="28"/>
        <v>3.7431457431457424</v>
      </c>
      <c r="T134">
        <f t="shared" si="29"/>
        <v>3.6883116883116887</v>
      </c>
      <c r="U134">
        <f t="shared" si="30"/>
        <v>3.3766233766233764</v>
      </c>
      <c r="V134">
        <f t="shared" si="31"/>
        <v>18.441558441558442</v>
      </c>
      <c r="W134">
        <f t="shared" si="32"/>
        <v>100</v>
      </c>
    </row>
    <row r="135" spans="1:23" x14ac:dyDescent="0.3">
      <c r="A135" t="s">
        <v>32</v>
      </c>
      <c r="B135">
        <v>2016</v>
      </c>
      <c r="C135" t="s">
        <v>41</v>
      </c>
      <c r="D135">
        <f>'All_India_Index_Upto_April23 (1'!D135+'All_India_Index_Upto_April23 (1'!G135+'All_India_Index_Upto_April23 (1'!H135+'All_India_Index_Upto_April23 (1'!I135+'All_India_Index_Upto_April23 (1'!J135+'All_India_Index_Upto_April23 (1'!K135+'All_India_Index_Upto_April23 (1'!L135+'All_India_Index_Upto_April23 (1'!M135+'All_India_Index_Upto_April23 (1'!N135+'All_India_Index_Upto_April23 (1'!O135+'All_India_Index_Upto_April23 (1'!P135</f>
        <v>1488.1</v>
      </c>
      <c r="E135">
        <f>'All_India_Index_Upto_April23 (1'!E135+'All_India_Index_Upto_April23 (1'!F135</f>
        <v>268.29999999999995</v>
      </c>
      <c r="F135">
        <v>143.9</v>
      </c>
      <c r="G135">
        <f>'All_India_Index_Upto_April23 (1'!R135+'All_India_Index_Upto_April23 (1'!S135+'All_India_Index_Upto_April23 (1'!T135</f>
        <v>378</v>
      </c>
      <c r="H135">
        <f>'All_India_Index_Upto_April23 (1'!U135+'All_India_Index_Upto_April23 (1'!W135</f>
        <v>252.2</v>
      </c>
      <c r="I135">
        <v>114.8</v>
      </c>
      <c r="J135">
        <v>121.4</v>
      </c>
      <c r="K135">
        <v>111.8</v>
      </c>
      <c r="L135">
        <f>'All_India_Index_Upto_April23 (1'!Z135+'All_India_Index_Upto_April23 (1'!AA135+'All_India_Index_Upto_April23 (1'!AB135+'All_India_Index_Upto_April23 (1'!AC135+'All_India_Index_Upto_April23 (1'!AD135</f>
        <v>622.09999999999991</v>
      </c>
      <c r="M135">
        <f t="shared" si="22"/>
        <v>3500.6000000000004</v>
      </c>
      <c r="N135">
        <f t="shared" si="23"/>
        <v>42.509855453350845</v>
      </c>
      <c r="O135">
        <f t="shared" si="24"/>
        <v>7.6644003885048262</v>
      </c>
      <c r="P135">
        <f t="shared" si="25"/>
        <v>4.1107238759069871</v>
      </c>
      <c r="Q135">
        <f t="shared" si="26"/>
        <v>10.798148888761926</v>
      </c>
      <c r="R135">
        <f t="shared" si="27"/>
        <v>7.2044792321316331</v>
      </c>
      <c r="S135">
        <f t="shared" si="28"/>
        <v>3.2794378106610287</v>
      </c>
      <c r="T135">
        <f t="shared" si="29"/>
        <v>3.4679769182425866</v>
      </c>
      <c r="U135">
        <f t="shared" si="30"/>
        <v>3.1937382163057757</v>
      </c>
      <c r="V135">
        <f t="shared" si="31"/>
        <v>17.771239216134372</v>
      </c>
      <c r="W135">
        <f t="shared" si="32"/>
        <v>99.999999999999972</v>
      </c>
    </row>
    <row r="136" spans="1:23" x14ac:dyDescent="0.3">
      <c r="A136" t="s">
        <v>33</v>
      </c>
      <c r="B136">
        <v>2016</v>
      </c>
      <c r="C136" t="s">
        <v>41</v>
      </c>
      <c r="D136">
        <f>'All_India_Index_Upto_April23 (1'!D136+'All_India_Index_Upto_April23 (1'!G136+'All_India_Index_Upto_April23 (1'!H136+'All_India_Index_Upto_April23 (1'!I136+'All_India_Index_Upto_April23 (1'!J136+'All_India_Index_Upto_April23 (1'!K136+'All_India_Index_Upto_April23 (1'!L136+'All_India_Index_Upto_April23 (1'!M136+'All_India_Index_Upto_April23 (1'!N136+'All_India_Index_Upto_April23 (1'!O136+'All_India_Index_Upto_April23 (1'!P136</f>
        <v>1495.1999999999998</v>
      </c>
      <c r="E136">
        <f>'All_India_Index_Upto_April23 (1'!E136+'All_India_Index_Upto_April23 (1'!F136</f>
        <v>268.5</v>
      </c>
      <c r="F136">
        <v>141</v>
      </c>
      <c r="G136">
        <f>'All_India_Index_Upto_April23 (1'!R136+'All_India_Index_Upto_April23 (1'!S136+'All_India_Index_Upto_April23 (1'!T136</f>
        <v>397</v>
      </c>
      <c r="H136">
        <f>'All_India_Index_Upto_April23 (1'!U136+'All_India_Index_Upto_April23 (1'!W136</f>
        <v>255.8</v>
      </c>
      <c r="I136">
        <v>124.1</v>
      </c>
      <c r="J136">
        <v>125.4</v>
      </c>
      <c r="K136">
        <v>114.3</v>
      </c>
      <c r="L136">
        <f>'All_India_Index_Upto_April23 (1'!Z136+'All_India_Index_Upto_April23 (1'!AA136+'All_India_Index_Upto_April23 (1'!AB136+'All_India_Index_Upto_April23 (1'!AC136+'All_India_Index_Upto_April23 (1'!AD136</f>
        <v>630.5</v>
      </c>
      <c r="M136">
        <f t="shared" si="22"/>
        <v>3551.8</v>
      </c>
      <c r="N136">
        <f t="shared" si="23"/>
        <v>42.096964919195898</v>
      </c>
      <c r="O136">
        <f t="shared" si="24"/>
        <v>7.5595472718058438</v>
      </c>
      <c r="P136">
        <f t="shared" si="25"/>
        <v>3.9698181203896614</v>
      </c>
      <c r="Q136">
        <f t="shared" si="26"/>
        <v>11.177431161664506</v>
      </c>
      <c r="R136">
        <f t="shared" si="27"/>
        <v>7.2019820935863512</v>
      </c>
      <c r="S136">
        <f t="shared" si="28"/>
        <v>3.4940030407117515</v>
      </c>
      <c r="T136">
        <f t="shared" si="29"/>
        <v>3.5306042006869758</v>
      </c>
      <c r="U136">
        <f t="shared" si="30"/>
        <v>3.2180866039754488</v>
      </c>
      <c r="V136">
        <f t="shared" si="31"/>
        <v>17.751562587983557</v>
      </c>
      <c r="W136">
        <f t="shared" si="32"/>
        <v>99.999999999999986</v>
      </c>
    </row>
    <row r="137" spans="1:23" x14ac:dyDescent="0.3">
      <c r="A137" t="s">
        <v>30</v>
      </c>
      <c r="B137">
        <v>2016</v>
      </c>
      <c r="C137" t="s">
        <v>42</v>
      </c>
      <c r="D137">
        <f>'All_India_Index_Upto_April23 (1'!D137+'All_India_Index_Upto_April23 (1'!G137+'All_India_Index_Upto_April23 (1'!H137+'All_India_Index_Upto_April23 (1'!I137+'All_India_Index_Upto_April23 (1'!J137+'All_India_Index_Upto_April23 (1'!K137+'All_India_Index_Upto_April23 (1'!L137+'All_India_Index_Upto_April23 (1'!M137+'All_India_Index_Upto_April23 (1'!N137+'All_India_Index_Upto_April23 (1'!O137+'All_India_Index_Upto_April23 (1'!P137</f>
        <v>1504.1000000000004</v>
      </c>
      <c r="E137">
        <f>'All_India_Index_Upto_April23 (1'!E137+'All_India_Index_Upto_April23 (1'!F137</f>
        <v>267.7</v>
      </c>
      <c r="F137">
        <v>140.9</v>
      </c>
      <c r="G137">
        <f>'All_India_Index_Upto_April23 (1'!R137+'All_India_Index_Upto_April23 (1'!S137+'All_India_Index_Upto_April23 (1'!T137</f>
        <v>412.7</v>
      </c>
      <c r="H137">
        <f>'All_India_Index_Upto_April23 (1'!U137+'All_India_Index_Upto_April23 (1'!W137</f>
        <v>131.80000000000001</v>
      </c>
      <c r="I137">
        <v>129.80000000000001</v>
      </c>
      <c r="J137">
        <v>128.69999999999999</v>
      </c>
      <c r="K137">
        <v>117.8</v>
      </c>
      <c r="L137">
        <f>'All_India_Index_Upto_April23 (1'!Z137+'All_India_Index_Upto_April23 (1'!AA137+'All_India_Index_Upto_April23 (1'!AB137+'All_India_Index_Upto_April23 (1'!AC137+'All_India_Index_Upto_April23 (1'!AD137</f>
        <v>642</v>
      </c>
      <c r="M137">
        <f t="shared" si="22"/>
        <v>3475.5000000000009</v>
      </c>
      <c r="N137">
        <f t="shared" si="23"/>
        <v>43.27722629837433</v>
      </c>
      <c r="O137">
        <f t="shared" si="24"/>
        <v>7.7024888505251017</v>
      </c>
      <c r="P137">
        <f t="shared" si="25"/>
        <v>4.0540929362681615</v>
      </c>
      <c r="Q137">
        <f t="shared" si="26"/>
        <v>11.874550424399363</v>
      </c>
      <c r="R137">
        <f t="shared" si="27"/>
        <v>3.7922601064595018</v>
      </c>
      <c r="S137">
        <f t="shared" si="28"/>
        <v>3.7347144295784771</v>
      </c>
      <c r="T137">
        <f t="shared" si="29"/>
        <v>3.7030643072939138</v>
      </c>
      <c r="U137">
        <f t="shared" si="30"/>
        <v>3.3894403682923313</v>
      </c>
      <c r="V137">
        <f t="shared" si="31"/>
        <v>18.472162278808799</v>
      </c>
      <c r="W137">
        <f t="shared" si="32"/>
        <v>99.999999999999972</v>
      </c>
    </row>
    <row r="138" spans="1:23" x14ac:dyDescent="0.3">
      <c r="A138" t="s">
        <v>32</v>
      </c>
      <c r="B138">
        <v>2016</v>
      </c>
      <c r="C138" t="s">
        <v>42</v>
      </c>
      <c r="D138">
        <f>'All_India_Index_Upto_April23 (1'!D138+'All_India_Index_Upto_April23 (1'!G138+'All_India_Index_Upto_April23 (1'!H138+'All_India_Index_Upto_April23 (1'!I138+'All_India_Index_Upto_April23 (1'!J138+'All_India_Index_Upto_April23 (1'!K138+'All_India_Index_Upto_April23 (1'!L138+'All_India_Index_Upto_April23 (1'!M138+'All_India_Index_Upto_April23 (1'!N138+'All_India_Index_Upto_April23 (1'!O138+'All_India_Index_Upto_April23 (1'!P138</f>
        <v>1494.1999999999998</v>
      </c>
      <c r="E138">
        <f>'All_India_Index_Upto_April23 (1'!E138+'All_India_Index_Upto_April23 (1'!F138</f>
        <v>268.70000000000005</v>
      </c>
      <c r="F138">
        <v>144.30000000000001</v>
      </c>
      <c r="G138">
        <f>'All_India_Index_Upto_April23 (1'!R138+'All_India_Index_Upto_April23 (1'!S138+'All_India_Index_Upto_April23 (1'!T138</f>
        <v>379</v>
      </c>
      <c r="H138">
        <f>'All_India_Index_Upto_April23 (1'!U138+'All_India_Index_Upto_April23 (1'!W138</f>
        <v>253.2</v>
      </c>
      <c r="I138">
        <v>115.2</v>
      </c>
      <c r="J138">
        <v>121.8</v>
      </c>
      <c r="K138">
        <v>112.8</v>
      </c>
      <c r="L138">
        <f>'All_India_Index_Upto_April23 (1'!Z138+'All_India_Index_Upto_April23 (1'!AA138+'All_India_Index_Upto_April23 (1'!AB138+'All_India_Index_Upto_April23 (1'!AC138+'All_India_Index_Upto_April23 (1'!AD138</f>
        <v>623.40000000000009</v>
      </c>
      <c r="M138">
        <f t="shared" si="22"/>
        <v>3512.6</v>
      </c>
      <c r="N138">
        <f t="shared" si="23"/>
        <v>42.53829072481922</v>
      </c>
      <c r="O138">
        <f t="shared" si="24"/>
        <v>7.6496042817286352</v>
      </c>
      <c r="P138">
        <f t="shared" si="25"/>
        <v>4.108068097705404</v>
      </c>
      <c r="Q138">
        <f t="shared" si="26"/>
        <v>10.789728406308717</v>
      </c>
      <c r="R138">
        <f t="shared" si="27"/>
        <v>7.2083357057450321</v>
      </c>
      <c r="S138">
        <f t="shared" si="28"/>
        <v>3.2796219324716733</v>
      </c>
      <c r="T138">
        <f t="shared" si="29"/>
        <v>3.46751693901953</v>
      </c>
      <c r="U138">
        <f t="shared" si="30"/>
        <v>3.2112964755451801</v>
      </c>
      <c r="V138">
        <f t="shared" si="31"/>
        <v>17.747537436656611</v>
      </c>
      <c r="W138">
        <f t="shared" si="32"/>
        <v>100</v>
      </c>
    </row>
    <row r="139" spans="1:23" x14ac:dyDescent="0.3">
      <c r="A139" t="s">
        <v>33</v>
      </c>
      <c r="B139">
        <v>2016</v>
      </c>
      <c r="C139" t="s">
        <v>42</v>
      </c>
      <c r="D139">
        <f>'All_India_Index_Upto_April23 (1'!D139+'All_India_Index_Upto_April23 (1'!G139+'All_India_Index_Upto_April23 (1'!H139+'All_India_Index_Upto_April23 (1'!I139+'All_India_Index_Upto_April23 (1'!J139+'All_India_Index_Upto_April23 (1'!K139+'All_India_Index_Upto_April23 (1'!L139+'All_India_Index_Upto_April23 (1'!M139+'All_India_Index_Upto_April23 (1'!N139+'All_India_Index_Upto_April23 (1'!O139+'All_India_Index_Upto_April23 (1'!P139</f>
        <v>1498.6999999999998</v>
      </c>
      <c r="E139">
        <f>'All_India_Index_Upto_April23 (1'!E139+'All_India_Index_Upto_April23 (1'!F139</f>
        <v>268.10000000000002</v>
      </c>
      <c r="F139">
        <v>141.80000000000001</v>
      </c>
      <c r="G139">
        <f>'All_India_Index_Upto_April23 (1'!R139+'All_India_Index_Upto_April23 (1'!S139+'All_India_Index_Upto_April23 (1'!T139</f>
        <v>399.1</v>
      </c>
      <c r="H139">
        <f>'All_India_Index_Upto_April23 (1'!U139+'All_India_Index_Upto_April23 (1'!W139</f>
        <v>257.10000000000002</v>
      </c>
      <c r="I139">
        <v>124.3</v>
      </c>
      <c r="J139">
        <v>126.1</v>
      </c>
      <c r="K139">
        <v>115.2</v>
      </c>
      <c r="L139">
        <f>'All_India_Index_Upto_April23 (1'!Z139+'All_India_Index_Upto_April23 (1'!AA139+'All_India_Index_Upto_April23 (1'!AB139+'All_India_Index_Upto_April23 (1'!AC139+'All_India_Index_Upto_April23 (1'!AD139</f>
        <v>632.79999999999995</v>
      </c>
      <c r="M139">
        <f t="shared" si="22"/>
        <v>3563.2</v>
      </c>
      <c r="N139">
        <f t="shared" si="23"/>
        <v>42.060507409070496</v>
      </c>
      <c r="O139">
        <f t="shared" si="24"/>
        <v>7.5241356084418509</v>
      </c>
      <c r="P139">
        <f t="shared" si="25"/>
        <v>3.9795689268073651</v>
      </c>
      <c r="Q139">
        <f t="shared" si="26"/>
        <v>11.200606196677146</v>
      </c>
      <c r="R139">
        <f t="shared" si="27"/>
        <v>7.2154243376740022</v>
      </c>
      <c r="S139">
        <f t="shared" si="28"/>
        <v>3.4884373596766953</v>
      </c>
      <c r="T139">
        <f t="shared" si="29"/>
        <v>3.5389537494387064</v>
      </c>
      <c r="U139">
        <f t="shared" si="30"/>
        <v>3.2330489447687474</v>
      </c>
      <c r="V139">
        <f t="shared" si="31"/>
        <v>17.759317467444994</v>
      </c>
      <c r="W139">
        <f t="shared" si="32"/>
        <v>100.00000000000003</v>
      </c>
    </row>
    <row r="140" spans="1:23" x14ac:dyDescent="0.3">
      <c r="A140" t="s">
        <v>30</v>
      </c>
      <c r="B140">
        <v>2016</v>
      </c>
      <c r="C140" t="s">
        <v>44</v>
      </c>
      <c r="D140">
        <f>'All_India_Index_Upto_April23 (1'!D140+'All_India_Index_Upto_April23 (1'!G140+'All_India_Index_Upto_April23 (1'!H140+'All_India_Index_Upto_April23 (1'!I140+'All_India_Index_Upto_April23 (1'!J140+'All_India_Index_Upto_April23 (1'!K140+'All_India_Index_Upto_April23 (1'!L140+'All_India_Index_Upto_April23 (1'!M140+'All_India_Index_Upto_April23 (1'!N140+'All_India_Index_Upto_April23 (1'!O140+'All_India_Index_Upto_April23 (1'!P140</f>
        <v>1496.6</v>
      </c>
      <c r="E140">
        <f>'All_India_Index_Upto_April23 (1'!E140+'All_India_Index_Upto_April23 (1'!F140</f>
        <v>268</v>
      </c>
      <c r="F140">
        <v>141.19999999999999</v>
      </c>
      <c r="G140">
        <f>'All_India_Index_Upto_April23 (1'!R140+'All_India_Index_Upto_April23 (1'!S140+'All_India_Index_Upto_April23 (1'!T140</f>
        <v>413.59999999999997</v>
      </c>
      <c r="H140">
        <f>'All_India_Index_Upto_April23 (1'!U140+'All_India_Index_Upto_April23 (1'!W140</f>
        <v>132.1</v>
      </c>
      <c r="I140">
        <v>130.30000000000001</v>
      </c>
      <c r="J140">
        <v>129.1</v>
      </c>
      <c r="K140">
        <v>118.2</v>
      </c>
      <c r="L140">
        <f>'All_India_Index_Upto_April23 (1'!Z140+'All_India_Index_Upto_April23 (1'!AA140+'All_India_Index_Upto_April23 (1'!AB140+'All_India_Index_Upto_April23 (1'!AC140+'All_India_Index_Upto_April23 (1'!AD140</f>
        <v>643.80000000000007</v>
      </c>
      <c r="M140">
        <f t="shared" si="22"/>
        <v>3472.9</v>
      </c>
      <c r="N140">
        <f t="shared" si="23"/>
        <v>43.09366811598376</v>
      </c>
      <c r="O140">
        <f t="shared" si="24"/>
        <v>7.7168936623571076</v>
      </c>
      <c r="P140">
        <f t="shared" si="25"/>
        <v>4.065766362406058</v>
      </c>
      <c r="Q140">
        <f t="shared" si="26"/>
        <v>11.909355293846639</v>
      </c>
      <c r="R140">
        <f t="shared" si="27"/>
        <v>3.803737510437962</v>
      </c>
      <c r="S140">
        <f t="shared" si="28"/>
        <v>3.7519076276310868</v>
      </c>
      <c r="T140">
        <f t="shared" si="29"/>
        <v>3.7173543724265019</v>
      </c>
      <c r="U140">
        <f t="shared" si="30"/>
        <v>3.4034956376515302</v>
      </c>
      <c r="V140">
        <f t="shared" si="31"/>
        <v>18.537821417259355</v>
      </c>
      <c r="W140">
        <f t="shared" si="32"/>
        <v>99.999999999999986</v>
      </c>
    </row>
    <row r="141" spans="1:23" x14ac:dyDescent="0.3">
      <c r="A141" t="s">
        <v>32</v>
      </c>
      <c r="B141">
        <v>2016</v>
      </c>
      <c r="C141" t="s">
        <v>44</v>
      </c>
      <c r="D141">
        <f>'All_India_Index_Upto_April23 (1'!D141+'All_India_Index_Upto_April23 (1'!G141+'All_India_Index_Upto_April23 (1'!H141+'All_India_Index_Upto_April23 (1'!I141+'All_India_Index_Upto_April23 (1'!J141+'All_India_Index_Upto_April23 (1'!K141+'All_India_Index_Upto_April23 (1'!L141+'All_India_Index_Upto_April23 (1'!M141+'All_India_Index_Upto_April23 (1'!N141+'All_India_Index_Upto_April23 (1'!O141+'All_India_Index_Upto_April23 (1'!P141</f>
        <v>1482.6000000000001</v>
      </c>
      <c r="E141">
        <f>'All_India_Index_Upto_April23 (1'!E141+'All_India_Index_Upto_April23 (1'!F141</f>
        <v>272.60000000000002</v>
      </c>
      <c r="F141">
        <v>144.30000000000001</v>
      </c>
      <c r="G141">
        <f>'All_India_Index_Upto_April23 (1'!R141+'All_India_Index_Upto_April23 (1'!S141+'All_India_Index_Upto_April23 (1'!T141</f>
        <v>380.2</v>
      </c>
      <c r="H141">
        <f>'All_India_Index_Upto_April23 (1'!U141+'All_India_Index_Upto_April23 (1'!W141</f>
        <v>253.8</v>
      </c>
      <c r="I141">
        <v>116.2</v>
      </c>
      <c r="J141">
        <v>122.1</v>
      </c>
      <c r="K141">
        <v>113.4</v>
      </c>
      <c r="L141">
        <f>'All_India_Index_Upto_April23 (1'!Z141+'All_India_Index_Upto_April23 (1'!AA141+'All_India_Index_Upto_April23 (1'!AB141+'All_India_Index_Upto_April23 (1'!AC141+'All_India_Index_Upto_April23 (1'!AD141</f>
        <v>624.90000000000009</v>
      </c>
      <c r="M141">
        <f t="shared" si="22"/>
        <v>3510.1000000000004</v>
      </c>
      <c r="N141">
        <f t="shared" si="23"/>
        <v>42.238112874277085</v>
      </c>
      <c r="O141">
        <f t="shared" si="24"/>
        <v>7.7661605082476282</v>
      </c>
      <c r="P141">
        <f t="shared" si="25"/>
        <v>4.1109939887752489</v>
      </c>
      <c r="Q141">
        <f t="shared" si="26"/>
        <v>10.83160023930942</v>
      </c>
      <c r="R141">
        <f t="shared" si="27"/>
        <v>7.230563231816757</v>
      </c>
      <c r="S141">
        <f t="shared" si="28"/>
        <v>3.310446995812085</v>
      </c>
      <c r="T141">
        <f t="shared" si="29"/>
        <v>3.4785333751175171</v>
      </c>
      <c r="U141">
        <f t="shared" si="30"/>
        <v>3.2306771886840826</v>
      </c>
      <c r="V141">
        <f t="shared" si="31"/>
        <v>17.802911597960172</v>
      </c>
      <c r="W141">
        <f t="shared" si="32"/>
        <v>100.00000000000001</v>
      </c>
    </row>
    <row r="142" spans="1:23" x14ac:dyDescent="0.3">
      <c r="A142" t="s">
        <v>33</v>
      </c>
      <c r="B142">
        <v>2016</v>
      </c>
      <c r="C142" t="s">
        <v>44</v>
      </c>
      <c r="D142">
        <f>'All_India_Index_Upto_April23 (1'!D142+'All_India_Index_Upto_April23 (1'!G142+'All_India_Index_Upto_April23 (1'!H142+'All_India_Index_Upto_April23 (1'!I142+'All_India_Index_Upto_April23 (1'!J142+'All_India_Index_Upto_April23 (1'!K142+'All_India_Index_Upto_April23 (1'!L142+'All_India_Index_Upto_April23 (1'!M142+'All_India_Index_Upto_April23 (1'!N142+'All_India_Index_Upto_April23 (1'!O142+'All_India_Index_Upto_April23 (1'!P142</f>
        <v>1489.9999999999998</v>
      </c>
      <c r="E142">
        <f>'All_India_Index_Upto_April23 (1'!E142+'All_India_Index_Upto_April23 (1'!F142</f>
        <v>269.8</v>
      </c>
      <c r="F142">
        <v>142</v>
      </c>
      <c r="G142">
        <f>'All_India_Index_Upto_April23 (1'!R142+'All_India_Index_Upto_April23 (1'!S142+'All_India_Index_Upto_April23 (1'!T142</f>
        <v>400.1</v>
      </c>
      <c r="H142">
        <f>'All_India_Index_Upto_April23 (1'!U142+'All_India_Index_Upto_April23 (1'!W142</f>
        <v>257.7</v>
      </c>
      <c r="I142">
        <v>125</v>
      </c>
      <c r="J142">
        <v>126.4</v>
      </c>
      <c r="K142">
        <v>115.7</v>
      </c>
      <c r="L142">
        <f>'All_India_Index_Upto_April23 (1'!Z142+'All_India_Index_Upto_April23 (1'!AA142+'All_India_Index_Upto_April23 (1'!AB142+'All_India_Index_Upto_April23 (1'!AC142+'All_India_Index_Upto_April23 (1'!AD142</f>
        <v>634.4</v>
      </c>
      <c r="M142">
        <f t="shared" si="22"/>
        <v>3561.0999999999995</v>
      </c>
      <c r="N142">
        <f t="shared" si="23"/>
        <v>41.841004184100413</v>
      </c>
      <c r="O142">
        <f t="shared" si="24"/>
        <v>7.5763106905169773</v>
      </c>
      <c r="P142">
        <f t="shared" si="25"/>
        <v>3.9875319423773559</v>
      </c>
      <c r="Q142">
        <f t="shared" si="26"/>
        <v>11.235292465811128</v>
      </c>
      <c r="R142">
        <f t="shared" si="27"/>
        <v>7.2365280390890465</v>
      </c>
      <c r="S142">
        <f t="shared" si="28"/>
        <v>3.5101513577265457</v>
      </c>
      <c r="T142">
        <f t="shared" si="29"/>
        <v>3.5494650529330833</v>
      </c>
      <c r="U142">
        <f t="shared" si="30"/>
        <v>3.2489960967116907</v>
      </c>
      <c r="V142">
        <f t="shared" si="31"/>
        <v>17.814720170733764</v>
      </c>
      <c r="W142">
        <f t="shared" si="32"/>
        <v>100.00000000000001</v>
      </c>
    </row>
    <row r="143" spans="1:23" x14ac:dyDescent="0.3">
      <c r="A143" t="s">
        <v>30</v>
      </c>
      <c r="B143">
        <v>2016</v>
      </c>
      <c r="C143" t="s">
        <v>45</v>
      </c>
      <c r="D143">
        <f>'All_India_Index_Upto_April23 (1'!D143+'All_India_Index_Upto_April23 (1'!G143+'All_India_Index_Upto_April23 (1'!H143+'All_India_Index_Upto_April23 (1'!I143+'All_India_Index_Upto_April23 (1'!J143+'All_India_Index_Upto_April23 (1'!K143+'All_India_Index_Upto_April23 (1'!L143+'All_India_Index_Upto_April23 (1'!M143+'All_India_Index_Upto_April23 (1'!N143+'All_India_Index_Upto_April23 (1'!O143+'All_India_Index_Upto_April23 (1'!P143</f>
        <v>1480.1999999999998</v>
      </c>
      <c r="E143">
        <f>'All_India_Index_Upto_April23 (1'!E143+'All_India_Index_Upto_April23 (1'!F143</f>
        <v>268.89999999999998</v>
      </c>
      <c r="F143">
        <v>142.4</v>
      </c>
      <c r="G143">
        <f>'All_India_Index_Upto_April23 (1'!R143+'All_India_Index_Upto_April23 (1'!S143+'All_India_Index_Upto_April23 (1'!T143</f>
        <v>415.3</v>
      </c>
      <c r="H143">
        <f>'All_India_Index_Upto_April23 (1'!U143+'All_India_Index_Upto_April23 (1'!W143</f>
        <v>132.9</v>
      </c>
      <c r="I143">
        <v>132</v>
      </c>
      <c r="J143">
        <v>129.69999999999999</v>
      </c>
      <c r="K143">
        <v>118.6</v>
      </c>
      <c r="L143">
        <f>'All_India_Index_Upto_April23 (1'!Z143+'All_India_Index_Upto_April23 (1'!AA143+'All_India_Index_Upto_April23 (1'!AB143+'All_India_Index_Upto_April23 (1'!AC143+'All_India_Index_Upto_April23 (1'!AD143</f>
        <v>642.5</v>
      </c>
      <c r="M143">
        <f t="shared" si="22"/>
        <v>3462.5</v>
      </c>
      <c r="N143">
        <f t="shared" si="23"/>
        <v>42.749458483754509</v>
      </c>
      <c r="O143">
        <f t="shared" si="24"/>
        <v>7.7660649819494578</v>
      </c>
      <c r="P143">
        <f t="shared" si="25"/>
        <v>4.1126353790613717</v>
      </c>
      <c r="Q143">
        <f t="shared" si="26"/>
        <v>11.994223826714801</v>
      </c>
      <c r="R143">
        <f t="shared" si="27"/>
        <v>3.8382671480144404</v>
      </c>
      <c r="S143">
        <f t="shared" si="28"/>
        <v>3.8122743682310474</v>
      </c>
      <c r="T143">
        <f t="shared" si="29"/>
        <v>3.7458483754512635</v>
      </c>
      <c r="U143">
        <f t="shared" si="30"/>
        <v>3.4252707581227435</v>
      </c>
      <c r="V143">
        <f t="shared" si="31"/>
        <v>18.555956678700362</v>
      </c>
      <c r="W143">
        <f t="shared" si="32"/>
        <v>100</v>
      </c>
    </row>
    <row r="144" spans="1:23" x14ac:dyDescent="0.3">
      <c r="A144" t="s">
        <v>32</v>
      </c>
      <c r="B144">
        <v>2016</v>
      </c>
      <c r="C144" t="s">
        <v>45</v>
      </c>
      <c r="D144">
        <f>'All_India_Index_Upto_April23 (1'!D144+'All_India_Index_Upto_April23 (1'!G144+'All_India_Index_Upto_April23 (1'!H144+'All_India_Index_Upto_April23 (1'!I144+'All_India_Index_Upto_April23 (1'!J144+'All_India_Index_Upto_April23 (1'!K144+'All_India_Index_Upto_April23 (1'!L144+'All_India_Index_Upto_April23 (1'!M144+'All_India_Index_Upto_April23 (1'!N144+'All_India_Index_Upto_April23 (1'!O144+'All_India_Index_Upto_April23 (1'!P144</f>
        <v>1456.7</v>
      </c>
      <c r="E144">
        <f>'All_India_Index_Upto_April23 (1'!E144+'All_India_Index_Upto_April23 (1'!F144</f>
        <v>273.10000000000002</v>
      </c>
      <c r="F144">
        <v>145</v>
      </c>
      <c r="G144">
        <f>'All_India_Index_Upto_April23 (1'!R144+'All_India_Index_Upto_April23 (1'!S144+'All_India_Index_Upto_April23 (1'!T144</f>
        <v>381</v>
      </c>
      <c r="H144">
        <f>'All_India_Index_Upto_April23 (1'!U144+'All_India_Index_Upto_April23 (1'!W144</f>
        <v>253.5</v>
      </c>
      <c r="I144">
        <v>117.8</v>
      </c>
      <c r="J144">
        <v>122.3</v>
      </c>
      <c r="K144">
        <v>113.7</v>
      </c>
      <c r="L144">
        <f>'All_India_Index_Upto_April23 (1'!Z144+'All_India_Index_Upto_April23 (1'!AA144+'All_India_Index_Upto_April23 (1'!AB144+'All_India_Index_Upto_April23 (1'!AC144+'All_India_Index_Upto_April23 (1'!AD144</f>
        <v>623</v>
      </c>
      <c r="M144">
        <f t="shared" si="22"/>
        <v>3486.1000000000004</v>
      </c>
      <c r="N144">
        <f t="shared" si="23"/>
        <v>41.785949915378211</v>
      </c>
      <c r="O144">
        <f t="shared" si="24"/>
        <v>7.8339691919336794</v>
      </c>
      <c r="P144">
        <f t="shared" si="25"/>
        <v>4.15937580677548</v>
      </c>
      <c r="Q144">
        <f t="shared" si="26"/>
        <v>10.929118499182467</v>
      </c>
      <c r="R144">
        <f t="shared" si="27"/>
        <v>7.2717363242591997</v>
      </c>
      <c r="S144">
        <f t="shared" si="28"/>
        <v>3.3791342761251828</v>
      </c>
      <c r="T144">
        <f t="shared" si="29"/>
        <v>3.5082183528871802</v>
      </c>
      <c r="U144">
        <f t="shared" si="30"/>
        <v>3.261524339519807</v>
      </c>
      <c r="V144">
        <f t="shared" si="31"/>
        <v>17.870973293938782</v>
      </c>
      <c r="W144">
        <f t="shared" si="32"/>
        <v>100</v>
      </c>
    </row>
    <row r="145" spans="1:23" x14ac:dyDescent="0.3">
      <c r="A145" t="s">
        <v>33</v>
      </c>
      <c r="B145">
        <v>2016</v>
      </c>
      <c r="C145" t="s">
        <v>45</v>
      </c>
      <c r="D145">
        <f>'All_India_Index_Upto_April23 (1'!D145+'All_India_Index_Upto_April23 (1'!G145+'All_India_Index_Upto_April23 (1'!H145+'All_India_Index_Upto_April23 (1'!I145+'All_India_Index_Upto_April23 (1'!J145+'All_India_Index_Upto_April23 (1'!K145+'All_India_Index_Upto_April23 (1'!L145+'All_India_Index_Upto_April23 (1'!M145+'All_India_Index_Upto_April23 (1'!N145+'All_India_Index_Upto_April23 (1'!O145+'All_India_Index_Upto_April23 (1'!P145</f>
        <v>1470.1999999999998</v>
      </c>
      <c r="E145">
        <f>'All_India_Index_Upto_April23 (1'!E145+'All_India_Index_Upto_April23 (1'!F145</f>
        <v>270.5</v>
      </c>
      <c r="F145">
        <v>143.1</v>
      </c>
      <c r="G145">
        <f>'All_India_Index_Upto_April23 (1'!R145+'All_India_Index_Upto_April23 (1'!S145+'All_India_Index_Upto_April23 (1'!T145</f>
        <v>401.5</v>
      </c>
      <c r="H145">
        <f>'All_India_Index_Upto_April23 (1'!U145+'All_India_Index_Upto_April23 (1'!W145</f>
        <v>257.7</v>
      </c>
      <c r="I145">
        <v>126.6</v>
      </c>
      <c r="J145">
        <v>126.9</v>
      </c>
      <c r="K145">
        <v>116</v>
      </c>
      <c r="L145">
        <f>'All_India_Index_Upto_April23 (1'!Z145+'All_India_Index_Upto_April23 (1'!AA145+'All_India_Index_Upto_April23 (1'!AB145+'All_India_Index_Upto_April23 (1'!AC145+'All_India_Index_Upto_April23 (1'!AD145</f>
        <v>632.69999999999993</v>
      </c>
      <c r="M145">
        <f t="shared" si="22"/>
        <v>3545.1999999999994</v>
      </c>
      <c r="N145">
        <f t="shared" si="23"/>
        <v>41.470156831772542</v>
      </c>
      <c r="O145">
        <f t="shared" si="24"/>
        <v>7.6300349768701352</v>
      </c>
      <c r="P145">
        <f t="shared" si="25"/>
        <v>4.0364436421076393</v>
      </c>
      <c r="Q145">
        <f t="shared" si="26"/>
        <v>11.325172063635341</v>
      </c>
      <c r="R145">
        <f t="shared" si="27"/>
        <v>7.2689834141938396</v>
      </c>
      <c r="S145">
        <f t="shared" si="28"/>
        <v>3.571025612095228</v>
      </c>
      <c r="T145">
        <f t="shared" si="29"/>
        <v>3.5794877580954538</v>
      </c>
      <c r="U145">
        <f t="shared" si="30"/>
        <v>3.2720297867539214</v>
      </c>
      <c r="V145">
        <f t="shared" si="31"/>
        <v>17.846665914475913</v>
      </c>
      <c r="W145">
        <f t="shared" si="32"/>
        <v>100</v>
      </c>
    </row>
    <row r="146" spans="1:23" x14ac:dyDescent="0.3">
      <c r="A146" t="s">
        <v>30</v>
      </c>
      <c r="B146">
        <v>2017</v>
      </c>
      <c r="C146" t="s">
        <v>31</v>
      </c>
      <c r="D146">
        <f>'All_India_Index_Upto_April23 (1'!D146+'All_India_Index_Upto_April23 (1'!G146+'All_India_Index_Upto_April23 (1'!H146+'All_India_Index_Upto_April23 (1'!I146+'All_India_Index_Upto_April23 (1'!J146+'All_India_Index_Upto_April23 (1'!K146+'All_India_Index_Upto_April23 (1'!L146+'All_India_Index_Upto_April23 (1'!M146+'All_India_Index_Upto_April23 (1'!N146+'All_India_Index_Upto_April23 (1'!O146+'All_India_Index_Upto_April23 (1'!P146</f>
        <v>1467.6000000000001</v>
      </c>
      <c r="E146">
        <f>'All_India_Index_Upto_April23 (1'!E146+'All_India_Index_Upto_April23 (1'!F146</f>
        <v>269.70000000000005</v>
      </c>
      <c r="F146">
        <v>143.1</v>
      </c>
      <c r="G146">
        <f>'All_India_Index_Upto_April23 (1'!R146+'All_India_Index_Upto_April23 (1'!S146+'All_India_Index_Upto_April23 (1'!T146</f>
        <v>416.5</v>
      </c>
      <c r="H146">
        <f>'All_India_Index_Upto_April23 (1'!U146+'All_India_Index_Upto_April23 (1'!W146</f>
        <v>133.19999999999999</v>
      </c>
      <c r="I146">
        <v>132.1</v>
      </c>
      <c r="J146">
        <v>129.9</v>
      </c>
      <c r="K146">
        <v>119.1</v>
      </c>
      <c r="L146">
        <f>'All_India_Index_Upto_April23 (1'!Z146+'All_India_Index_Upto_April23 (1'!AA146+'All_India_Index_Upto_April23 (1'!AB146+'All_India_Index_Upto_April23 (1'!AC146+'All_India_Index_Upto_April23 (1'!AD146</f>
        <v>642.9</v>
      </c>
      <c r="M146">
        <f t="shared" si="22"/>
        <v>3454.1</v>
      </c>
      <c r="N146">
        <f t="shared" si="23"/>
        <v>42.488636692626159</v>
      </c>
      <c r="O146">
        <f t="shared" si="24"/>
        <v>7.8081120986653554</v>
      </c>
      <c r="P146">
        <f t="shared" si="25"/>
        <v>4.1429026374453546</v>
      </c>
      <c r="Q146">
        <f t="shared" si="26"/>
        <v>12.058133811991546</v>
      </c>
      <c r="R146">
        <f t="shared" si="27"/>
        <v>3.8562867317101417</v>
      </c>
      <c r="S146">
        <f t="shared" si="28"/>
        <v>3.8244405199617844</v>
      </c>
      <c r="T146">
        <f t="shared" si="29"/>
        <v>3.7607480964650706</v>
      </c>
      <c r="U146">
        <f t="shared" si="30"/>
        <v>3.4480761992993831</v>
      </c>
      <c r="V146">
        <f t="shared" si="31"/>
        <v>18.612663211835208</v>
      </c>
      <c r="W146">
        <f t="shared" si="32"/>
        <v>99.999999999999986</v>
      </c>
    </row>
    <row r="147" spans="1:23" x14ac:dyDescent="0.3">
      <c r="A147" t="s">
        <v>32</v>
      </c>
      <c r="B147">
        <v>2017</v>
      </c>
      <c r="C147" t="s">
        <v>31</v>
      </c>
      <c r="D147">
        <f>'All_India_Index_Upto_April23 (1'!D147+'All_India_Index_Upto_April23 (1'!G147+'All_India_Index_Upto_April23 (1'!H147+'All_India_Index_Upto_April23 (1'!I147+'All_India_Index_Upto_April23 (1'!J147+'All_India_Index_Upto_April23 (1'!K147+'All_India_Index_Upto_April23 (1'!L147+'All_India_Index_Upto_April23 (1'!M147+'All_India_Index_Upto_April23 (1'!N147+'All_India_Index_Upto_April23 (1'!O147+'All_India_Index_Upto_April23 (1'!P147</f>
        <v>1441.7</v>
      </c>
      <c r="E147">
        <f>'All_India_Index_Upto_April23 (1'!E147+'All_India_Index_Upto_April23 (1'!F147</f>
        <v>271.5</v>
      </c>
      <c r="F147">
        <v>145.6</v>
      </c>
      <c r="G147">
        <f>'All_India_Index_Upto_April23 (1'!R147+'All_India_Index_Upto_April23 (1'!S147+'All_India_Index_Upto_April23 (1'!T147</f>
        <v>381.5</v>
      </c>
      <c r="H147">
        <f>'All_India_Index_Upto_April23 (1'!U147+'All_India_Index_Upto_April23 (1'!W147</f>
        <v>254.7</v>
      </c>
      <c r="I147">
        <v>118</v>
      </c>
      <c r="J147">
        <v>122.6</v>
      </c>
      <c r="K147">
        <v>115.2</v>
      </c>
      <c r="L147">
        <f>'All_India_Index_Upto_April23 (1'!Z147+'All_India_Index_Upto_April23 (1'!AA147+'All_India_Index_Upto_April23 (1'!AB147+'All_India_Index_Upto_April23 (1'!AC147+'All_India_Index_Upto_April23 (1'!AD147</f>
        <v>625.19999999999993</v>
      </c>
      <c r="M147">
        <f t="shared" si="22"/>
        <v>3475.9999999999995</v>
      </c>
      <c r="N147">
        <f t="shared" si="23"/>
        <v>41.475834292289996</v>
      </c>
      <c r="O147">
        <f t="shared" si="24"/>
        <v>7.8107019562715774</v>
      </c>
      <c r="P147">
        <f t="shared" si="25"/>
        <v>4.1887226697353288</v>
      </c>
      <c r="Q147">
        <f t="shared" si="26"/>
        <v>10.975258918296895</v>
      </c>
      <c r="R147">
        <f t="shared" si="27"/>
        <v>7.327387802071347</v>
      </c>
      <c r="S147">
        <f t="shared" si="28"/>
        <v>3.3947065592635219</v>
      </c>
      <c r="T147">
        <f t="shared" si="29"/>
        <v>3.527042577675489</v>
      </c>
      <c r="U147">
        <f t="shared" si="30"/>
        <v>3.3141542002301501</v>
      </c>
      <c r="V147">
        <f t="shared" si="31"/>
        <v>17.986191024165706</v>
      </c>
      <c r="W147">
        <f t="shared" si="32"/>
        <v>100.00000000000001</v>
      </c>
    </row>
    <row r="148" spans="1:23" x14ac:dyDescent="0.3">
      <c r="A148" t="s">
        <v>33</v>
      </c>
      <c r="B148">
        <v>2017</v>
      </c>
      <c r="C148" t="s">
        <v>31</v>
      </c>
      <c r="D148">
        <f>'All_India_Index_Upto_April23 (1'!D148+'All_India_Index_Upto_April23 (1'!G148+'All_India_Index_Upto_April23 (1'!H148+'All_India_Index_Upto_April23 (1'!I148+'All_India_Index_Upto_April23 (1'!J148+'All_India_Index_Upto_April23 (1'!K148+'All_India_Index_Upto_April23 (1'!L148+'All_India_Index_Upto_April23 (1'!M148+'All_India_Index_Upto_April23 (1'!N148+'All_India_Index_Upto_April23 (1'!O148+'All_India_Index_Upto_April23 (1'!P148</f>
        <v>1456.8999999999999</v>
      </c>
      <c r="E148">
        <f>'All_India_Index_Upto_April23 (1'!E148+'All_India_Index_Upto_April23 (1'!F148</f>
        <v>270.39999999999998</v>
      </c>
      <c r="F148">
        <v>143.80000000000001</v>
      </c>
      <c r="G148">
        <f>'All_India_Index_Upto_April23 (1'!R148+'All_India_Index_Upto_April23 (1'!S148+'All_India_Index_Upto_April23 (1'!T148</f>
        <v>402.4</v>
      </c>
      <c r="H148">
        <f>'All_India_Index_Upto_April23 (1'!U148+'All_India_Index_Upto_April23 (1'!W148</f>
        <v>259</v>
      </c>
      <c r="I148">
        <v>126.8</v>
      </c>
      <c r="J148">
        <v>127.1</v>
      </c>
      <c r="K148">
        <v>117</v>
      </c>
      <c r="L148">
        <f>'All_India_Index_Upto_April23 (1'!Z148+'All_India_Index_Upto_April23 (1'!AA148+'All_India_Index_Upto_April23 (1'!AB148+'All_India_Index_Upto_April23 (1'!AC148+'All_India_Index_Upto_April23 (1'!AD148</f>
        <v>633.90000000000009</v>
      </c>
      <c r="M148">
        <f t="shared" si="22"/>
        <v>3537.2999999999997</v>
      </c>
      <c r="N148">
        <f t="shared" si="23"/>
        <v>41.186780878070842</v>
      </c>
      <c r="O148">
        <f t="shared" si="24"/>
        <v>7.6442484380742375</v>
      </c>
      <c r="P148">
        <f t="shared" si="25"/>
        <v>4.0652475051593031</v>
      </c>
      <c r="Q148">
        <f t="shared" si="26"/>
        <v>11.375908178554264</v>
      </c>
      <c r="R148">
        <f t="shared" si="27"/>
        <v>7.3219687332145993</v>
      </c>
      <c r="S148">
        <f t="shared" si="28"/>
        <v>3.5846549628247537</v>
      </c>
      <c r="T148">
        <f t="shared" si="29"/>
        <v>3.5931360076894805</v>
      </c>
      <c r="U148">
        <f t="shared" si="30"/>
        <v>3.3076074972436609</v>
      </c>
      <c r="V148">
        <f t="shared" si="31"/>
        <v>17.920447799168862</v>
      </c>
      <c r="W148">
        <f t="shared" si="32"/>
        <v>100.00000000000003</v>
      </c>
    </row>
    <row r="149" spans="1:23" x14ac:dyDescent="0.3">
      <c r="A149" t="s">
        <v>30</v>
      </c>
      <c r="B149">
        <v>2017</v>
      </c>
      <c r="C149" t="s">
        <v>34</v>
      </c>
      <c r="D149">
        <f>'All_India_Index_Upto_April23 (1'!D149+'All_India_Index_Upto_April23 (1'!G149+'All_India_Index_Upto_April23 (1'!H149+'All_India_Index_Upto_April23 (1'!I149+'All_India_Index_Upto_April23 (1'!J149+'All_India_Index_Upto_April23 (1'!K149+'All_India_Index_Upto_April23 (1'!L149+'All_India_Index_Upto_April23 (1'!M149+'All_India_Index_Upto_April23 (1'!N149+'All_India_Index_Upto_April23 (1'!O149+'All_India_Index_Upto_April23 (1'!P149</f>
        <v>1466.9</v>
      </c>
      <c r="E149">
        <f>'All_India_Index_Upto_April23 (1'!E149+'All_India_Index_Upto_April23 (1'!F149</f>
        <v>267.60000000000002</v>
      </c>
      <c r="F149">
        <v>143.69999999999999</v>
      </c>
      <c r="G149">
        <f>'All_India_Index_Upto_April23 (1'!R149+'All_India_Index_Upto_April23 (1'!S149+'All_India_Index_Upto_April23 (1'!T149</f>
        <v>416.90000000000003</v>
      </c>
      <c r="H149">
        <f>'All_India_Index_Upto_April23 (1'!U149+'All_India_Index_Upto_April23 (1'!W149</f>
        <v>133.6</v>
      </c>
      <c r="I149">
        <v>133.19999999999999</v>
      </c>
      <c r="J149">
        <v>130.1</v>
      </c>
      <c r="K149">
        <v>119.5</v>
      </c>
      <c r="L149">
        <f>'All_India_Index_Upto_April23 (1'!Z149+'All_India_Index_Upto_April23 (1'!AA149+'All_India_Index_Upto_April23 (1'!AB149+'All_India_Index_Upto_April23 (1'!AC149+'All_India_Index_Upto_April23 (1'!AD149</f>
        <v>645.4</v>
      </c>
      <c r="M149">
        <f t="shared" si="22"/>
        <v>3456.8999999999996</v>
      </c>
      <c r="N149">
        <f t="shared" si="23"/>
        <v>42.433972634441268</v>
      </c>
      <c r="O149">
        <f t="shared" si="24"/>
        <v>7.7410396598108155</v>
      </c>
      <c r="P149">
        <f t="shared" si="25"/>
        <v>4.1569035841360753</v>
      </c>
      <c r="Q149">
        <f t="shared" si="26"/>
        <v>12.059938094824846</v>
      </c>
      <c r="R149">
        <f t="shared" si="27"/>
        <v>3.8647342995169085</v>
      </c>
      <c r="S149">
        <f t="shared" si="28"/>
        <v>3.8531632387399117</v>
      </c>
      <c r="T149">
        <f t="shared" si="29"/>
        <v>3.763487517718187</v>
      </c>
      <c r="U149">
        <f t="shared" si="30"/>
        <v>3.456854407127774</v>
      </c>
      <c r="V149">
        <f t="shared" si="31"/>
        <v>18.669906563684226</v>
      </c>
      <c r="W149">
        <f t="shared" si="32"/>
        <v>100.00000000000001</v>
      </c>
    </row>
    <row r="150" spans="1:23" x14ac:dyDescent="0.3">
      <c r="A150" t="s">
        <v>32</v>
      </c>
      <c r="B150">
        <v>2017</v>
      </c>
      <c r="C150" t="s">
        <v>34</v>
      </c>
      <c r="D150">
        <f>'All_India_Index_Upto_April23 (1'!D150+'All_India_Index_Upto_April23 (1'!G150+'All_India_Index_Upto_April23 (1'!H150+'All_India_Index_Upto_April23 (1'!I150+'All_India_Index_Upto_April23 (1'!J150+'All_India_Index_Upto_April23 (1'!K150+'All_India_Index_Upto_April23 (1'!L150+'All_India_Index_Upto_April23 (1'!M150+'All_India_Index_Upto_April23 (1'!N150+'All_India_Index_Upto_April23 (1'!O150+'All_India_Index_Upto_April23 (1'!P150</f>
        <v>1436.2000000000003</v>
      </c>
      <c r="E150">
        <f>'All_India_Index_Upto_April23 (1'!E150+'All_India_Index_Upto_April23 (1'!F150</f>
        <v>269.10000000000002</v>
      </c>
      <c r="F150">
        <v>146.30000000000001</v>
      </c>
      <c r="G150">
        <f>'All_India_Index_Upto_April23 (1'!R150+'All_India_Index_Upto_April23 (1'!S150+'All_India_Index_Upto_April23 (1'!T150</f>
        <v>382.3</v>
      </c>
      <c r="H150">
        <f>'All_India_Index_Upto_April23 (1'!U150+'All_India_Index_Upto_April23 (1'!W150</f>
        <v>255.8</v>
      </c>
      <c r="I150">
        <v>119.2</v>
      </c>
      <c r="J150">
        <v>122.9</v>
      </c>
      <c r="K150">
        <v>115.5</v>
      </c>
      <c r="L150">
        <f>'All_India_Index_Upto_April23 (1'!Z150+'All_India_Index_Upto_April23 (1'!AA150+'All_India_Index_Upto_April23 (1'!AB150+'All_India_Index_Upto_April23 (1'!AC150+'All_India_Index_Upto_April23 (1'!AD150</f>
        <v>626.90000000000009</v>
      </c>
      <c r="M150">
        <f t="shared" si="22"/>
        <v>3474.2000000000003</v>
      </c>
      <c r="N150">
        <f t="shared" si="23"/>
        <v>41.339013298025449</v>
      </c>
      <c r="O150">
        <f t="shared" si="24"/>
        <v>7.7456680674687695</v>
      </c>
      <c r="P150">
        <f t="shared" si="25"/>
        <v>4.2110413908237865</v>
      </c>
      <c r="Q150">
        <f t="shared" si="26"/>
        <v>11.003972137470496</v>
      </c>
      <c r="R150">
        <f t="shared" si="27"/>
        <v>7.362846122848425</v>
      </c>
      <c r="S150">
        <f t="shared" si="28"/>
        <v>3.4310056991537623</v>
      </c>
      <c r="T150">
        <f t="shared" si="29"/>
        <v>3.5375050371308503</v>
      </c>
      <c r="U150">
        <f t="shared" si="30"/>
        <v>3.3245063611766734</v>
      </c>
      <c r="V150">
        <f t="shared" si="31"/>
        <v>18.04444188590179</v>
      </c>
      <c r="W150">
        <f t="shared" si="32"/>
        <v>100</v>
      </c>
    </row>
    <row r="151" spans="1:23" x14ac:dyDescent="0.3">
      <c r="A151" t="s">
        <v>33</v>
      </c>
      <c r="B151">
        <v>2017</v>
      </c>
      <c r="C151" t="s">
        <v>34</v>
      </c>
      <c r="D151">
        <f>'All_India_Index_Upto_April23 (1'!D151+'All_India_Index_Upto_April23 (1'!G151+'All_India_Index_Upto_April23 (1'!H151+'All_India_Index_Upto_April23 (1'!I151+'All_India_Index_Upto_April23 (1'!J151+'All_India_Index_Upto_April23 (1'!K151+'All_India_Index_Upto_April23 (1'!L151+'All_India_Index_Upto_April23 (1'!M151+'All_India_Index_Upto_April23 (1'!N151+'All_India_Index_Upto_April23 (1'!O151+'All_India_Index_Upto_April23 (1'!P151</f>
        <v>1454.2</v>
      </c>
      <c r="E151">
        <f>'All_India_Index_Upto_April23 (1'!E151+'All_India_Index_Upto_April23 (1'!F151</f>
        <v>268.10000000000002</v>
      </c>
      <c r="F151">
        <v>144.4</v>
      </c>
      <c r="G151">
        <f>'All_India_Index_Upto_April23 (1'!R151+'All_India_Index_Upto_April23 (1'!S151+'All_India_Index_Upto_April23 (1'!T151</f>
        <v>403</v>
      </c>
      <c r="H151">
        <f>'All_India_Index_Upto_April23 (1'!U151+'All_India_Index_Upto_April23 (1'!W151</f>
        <v>260.2</v>
      </c>
      <c r="I151">
        <v>127.9</v>
      </c>
      <c r="J151">
        <v>127.4</v>
      </c>
      <c r="K151">
        <v>117.4</v>
      </c>
      <c r="L151">
        <f>'All_India_Index_Upto_April23 (1'!Z151+'All_India_Index_Upto_April23 (1'!AA151+'All_India_Index_Upto_April23 (1'!AB151+'All_India_Index_Upto_April23 (1'!AC151+'All_India_Index_Upto_April23 (1'!AD151</f>
        <v>636</v>
      </c>
      <c r="M151">
        <f t="shared" si="22"/>
        <v>3538.6000000000004</v>
      </c>
      <c r="N151">
        <f t="shared" si="23"/>
        <v>41.095348442887015</v>
      </c>
      <c r="O151">
        <f t="shared" si="24"/>
        <v>7.5764426609393549</v>
      </c>
      <c r="P151">
        <f t="shared" si="25"/>
        <v>4.0807098852653585</v>
      </c>
      <c r="Q151">
        <f t="shared" si="26"/>
        <v>11.38868479059515</v>
      </c>
      <c r="R151">
        <f t="shared" si="27"/>
        <v>7.3531905273271896</v>
      </c>
      <c r="S151">
        <f t="shared" si="28"/>
        <v>3.6144237834171706</v>
      </c>
      <c r="T151">
        <f t="shared" si="29"/>
        <v>3.6002939015429827</v>
      </c>
      <c r="U151">
        <f t="shared" si="30"/>
        <v>3.317696264059232</v>
      </c>
      <c r="V151">
        <f t="shared" si="31"/>
        <v>17.973209743966539</v>
      </c>
      <c r="W151">
        <f t="shared" si="32"/>
        <v>99.999999999999986</v>
      </c>
    </row>
    <row r="152" spans="1:23" x14ac:dyDescent="0.3">
      <c r="A152" t="s">
        <v>30</v>
      </c>
      <c r="B152">
        <v>2017</v>
      </c>
      <c r="C152" t="s">
        <v>35</v>
      </c>
      <c r="D152">
        <f>'All_India_Index_Upto_April23 (1'!D152+'All_India_Index_Upto_April23 (1'!G152+'All_India_Index_Upto_April23 (1'!H152+'All_India_Index_Upto_April23 (1'!I152+'All_India_Index_Upto_April23 (1'!J152+'All_India_Index_Upto_April23 (1'!K152+'All_India_Index_Upto_April23 (1'!L152+'All_India_Index_Upto_April23 (1'!M152+'All_India_Index_Upto_April23 (1'!N152+'All_India_Index_Upto_April23 (1'!O152+'All_India_Index_Upto_April23 (1'!P152</f>
        <v>1460.9</v>
      </c>
      <c r="E152">
        <f>'All_India_Index_Upto_April23 (1'!E152+'All_India_Index_Upto_April23 (1'!F152</f>
        <v>267.60000000000002</v>
      </c>
      <c r="F152">
        <v>144.19999999999999</v>
      </c>
      <c r="G152">
        <f>'All_India_Index_Upto_April23 (1'!R152+'All_India_Index_Upto_April23 (1'!S152+'All_India_Index_Upto_April23 (1'!T152</f>
        <v>418.59999999999997</v>
      </c>
      <c r="H152">
        <f>'All_India_Index_Upto_April23 (1'!U152+'All_India_Index_Upto_April23 (1'!W152</f>
        <v>134.1</v>
      </c>
      <c r="I152">
        <v>134.19999999999999</v>
      </c>
      <c r="J152">
        <v>130.6</v>
      </c>
      <c r="K152">
        <v>119.8</v>
      </c>
      <c r="L152">
        <f>'All_India_Index_Upto_April23 (1'!Z152+'All_India_Index_Upto_April23 (1'!AA152+'All_India_Index_Upto_April23 (1'!AB152+'All_India_Index_Upto_April23 (1'!AC152+'All_India_Index_Upto_April23 (1'!AD152</f>
        <v>647</v>
      </c>
      <c r="M152">
        <f t="shared" si="22"/>
        <v>3457</v>
      </c>
      <c r="N152">
        <f t="shared" si="23"/>
        <v>42.259184263812557</v>
      </c>
      <c r="O152">
        <f t="shared" si="24"/>
        <v>7.7408157361874466</v>
      </c>
      <c r="P152">
        <f t="shared" si="25"/>
        <v>4.1712467457332947</v>
      </c>
      <c r="Q152">
        <f t="shared" si="26"/>
        <v>12.108764824992766</v>
      </c>
      <c r="R152">
        <f t="shared" si="27"/>
        <v>3.8790859126410178</v>
      </c>
      <c r="S152">
        <f t="shared" si="28"/>
        <v>3.8819785941567835</v>
      </c>
      <c r="T152">
        <f t="shared" si="29"/>
        <v>3.777842059589239</v>
      </c>
      <c r="U152">
        <f t="shared" si="30"/>
        <v>3.4654324558866065</v>
      </c>
      <c r="V152">
        <f t="shared" si="31"/>
        <v>18.715649407000289</v>
      </c>
      <c r="W152">
        <f t="shared" si="32"/>
        <v>99.999999999999972</v>
      </c>
    </row>
    <row r="153" spans="1:23" x14ac:dyDescent="0.3">
      <c r="A153" t="s">
        <v>32</v>
      </c>
      <c r="B153">
        <v>2017</v>
      </c>
      <c r="C153" t="s">
        <v>35</v>
      </c>
      <c r="D153">
        <f>'All_India_Index_Upto_April23 (1'!D153+'All_India_Index_Upto_April23 (1'!G153+'All_India_Index_Upto_April23 (1'!H153+'All_India_Index_Upto_April23 (1'!I153+'All_India_Index_Upto_April23 (1'!J153+'All_India_Index_Upto_April23 (1'!K153+'All_India_Index_Upto_April23 (1'!L153+'All_India_Index_Upto_April23 (1'!M153+'All_India_Index_Upto_April23 (1'!N153+'All_India_Index_Upto_April23 (1'!O153+'All_India_Index_Upto_April23 (1'!P153</f>
        <v>1437.8999999999999</v>
      </c>
      <c r="E153">
        <f>'All_India_Index_Upto_April23 (1'!E153+'All_India_Index_Upto_April23 (1'!F153</f>
        <v>267.8</v>
      </c>
      <c r="F153">
        <v>147.5</v>
      </c>
      <c r="G153">
        <f>'All_India_Index_Upto_April23 (1'!R153+'All_India_Index_Upto_April23 (1'!S153+'All_India_Index_Upto_April23 (1'!T153</f>
        <v>383.20000000000005</v>
      </c>
      <c r="H153">
        <f>'All_India_Index_Upto_April23 (1'!U153+'All_India_Index_Upto_April23 (1'!W153</f>
        <v>256.7</v>
      </c>
      <c r="I153">
        <v>120.8</v>
      </c>
      <c r="J153">
        <v>123.1</v>
      </c>
      <c r="K153">
        <v>115.6</v>
      </c>
      <c r="L153">
        <f>'All_India_Index_Upto_April23 (1'!Z153+'All_India_Index_Upto_April23 (1'!AA153+'All_India_Index_Upto_April23 (1'!AB153+'All_India_Index_Upto_April23 (1'!AC153+'All_India_Index_Upto_April23 (1'!AD153</f>
        <v>628.20000000000005</v>
      </c>
      <c r="M153">
        <f t="shared" si="22"/>
        <v>3480.7999999999993</v>
      </c>
      <c r="N153">
        <f t="shared" si="23"/>
        <v>41.309469087566079</v>
      </c>
      <c r="O153">
        <f t="shared" si="24"/>
        <v>7.6936336474373732</v>
      </c>
      <c r="P153">
        <f t="shared" si="25"/>
        <v>4.2375316019305913</v>
      </c>
      <c r="Q153">
        <f t="shared" si="26"/>
        <v>11.008963456676629</v>
      </c>
      <c r="R153">
        <f t="shared" si="27"/>
        <v>7.3747414387497141</v>
      </c>
      <c r="S153">
        <f t="shared" si="28"/>
        <v>3.47046655941163</v>
      </c>
      <c r="T153">
        <f t="shared" si="29"/>
        <v>3.5365433233739378</v>
      </c>
      <c r="U153">
        <f t="shared" si="30"/>
        <v>3.3210756148011957</v>
      </c>
      <c r="V153">
        <f t="shared" si="31"/>
        <v>18.047575270052864</v>
      </c>
      <c r="W153">
        <f t="shared" si="32"/>
        <v>100.00000000000001</v>
      </c>
    </row>
    <row r="154" spans="1:23" x14ac:dyDescent="0.3">
      <c r="A154" t="s">
        <v>33</v>
      </c>
      <c r="B154">
        <v>2017</v>
      </c>
      <c r="C154" t="s">
        <v>35</v>
      </c>
      <c r="D154">
        <f>'All_India_Index_Upto_April23 (1'!D154+'All_India_Index_Upto_April23 (1'!G154+'All_India_Index_Upto_April23 (1'!H154+'All_India_Index_Upto_April23 (1'!I154+'All_India_Index_Upto_April23 (1'!J154+'All_India_Index_Upto_April23 (1'!K154+'All_India_Index_Upto_April23 (1'!L154+'All_India_Index_Upto_April23 (1'!M154+'All_India_Index_Upto_April23 (1'!N154+'All_India_Index_Upto_April23 (1'!O154+'All_India_Index_Upto_April23 (1'!P154</f>
        <v>1451.3</v>
      </c>
      <c r="E154">
        <f>'All_India_Index_Upto_April23 (1'!E154+'All_India_Index_Upto_April23 (1'!F154</f>
        <v>267.60000000000002</v>
      </c>
      <c r="F154">
        <v>145.1</v>
      </c>
      <c r="G154">
        <f>'All_India_Index_Upto_April23 (1'!R154+'All_India_Index_Upto_April23 (1'!S154+'All_India_Index_Upto_April23 (1'!T154</f>
        <v>404.29999999999995</v>
      </c>
      <c r="H154">
        <f>'All_India_Index_Upto_April23 (1'!U154+'All_India_Index_Upto_April23 (1'!W154</f>
        <v>261.2</v>
      </c>
      <c r="I154">
        <v>129.1</v>
      </c>
      <c r="J154">
        <v>127.8</v>
      </c>
      <c r="K154">
        <v>117.6</v>
      </c>
      <c r="L154">
        <f>'All_India_Index_Upto_April23 (1'!Z154+'All_India_Index_Upto_April23 (1'!AA154+'All_India_Index_Upto_April23 (1'!AB154+'All_India_Index_Upto_April23 (1'!AC154+'All_India_Index_Upto_April23 (1'!AD154</f>
        <v>637.4</v>
      </c>
      <c r="M154">
        <f t="shared" si="22"/>
        <v>3541.4</v>
      </c>
      <c r="N154">
        <f t="shared" si="23"/>
        <v>40.980967978765456</v>
      </c>
      <c r="O154">
        <f t="shared" si="24"/>
        <v>7.556333653357429</v>
      </c>
      <c r="P154">
        <f t="shared" si="25"/>
        <v>4.0972496752696674</v>
      </c>
      <c r="Q154">
        <f t="shared" si="26"/>
        <v>11.416388998701077</v>
      </c>
      <c r="R154">
        <f t="shared" si="27"/>
        <v>7.3756141638899857</v>
      </c>
      <c r="S154">
        <f t="shared" si="28"/>
        <v>3.6454509516010614</v>
      </c>
      <c r="T154">
        <f t="shared" si="29"/>
        <v>3.6087423053029872</v>
      </c>
      <c r="U154">
        <f t="shared" si="30"/>
        <v>3.3207206189642511</v>
      </c>
      <c r="V154">
        <f t="shared" si="31"/>
        <v>17.998531654148074</v>
      </c>
      <c r="W154">
        <f t="shared" si="32"/>
        <v>99.999999999999972</v>
      </c>
    </row>
    <row r="155" spans="1:23" x14ac:dyDescent="0.3">
      <c r="A155" t="s">
        <v>30</v>
      </c>
      <c r="B155">
        <v>2017</v>
      </c>
      <c r="C155" t="s">
        <v>36</v>
      </c>
      <c r="D155">
        <f>'All_India_Index_Upto_April23 (1'!D155+'All_India_Index_Upto_April23 (1'!G155+'All_India_Index_Upto_April23 (1'!H155+'All_India_Index_Upto_April23 (1'!I155+'All_India_Index_Upto_April23 (1'!J155+'All_India_Index_Upto_April23 (1'!K155+'All_India_Index_Upto_April23 (1'!L155+'All_India_Index_Upto_April23 (1'!M155+'All_India_Index_Upto_April23 (1'!N155+'All_India_Index_Upto_April23 (1'!O155+'All_India_Index_Upto_April23 (1'!P155</f>
        <v>1460.5</v>
      </c>
      <c r="E155">
        <f>'All_India_Index_Upto_April23 (1'!E155+'All_India_Index_Upto_April23 (1'!F155</f>
        <v>265.79999999999995</v>
      </c>
      <c r="F155">
        <v>144.4</v>
      </c>
      <c r="G155">
        <f>'All_India_Index_Upto_April23 (1'!R155+'All_India_Index_Upto_April23 (1'!S155+'All_India_Index_Upto_April23 (1'!T155</f>
        <v>420.80000000000007</v>
      </c>
      <c r="H155">
        <f>'All_India_Index_Upto_April23 (1'!U155+'All_India_Index_Upto_April23 (1'!W155</f>
        <v>134.30000000000001</v>
      </c>
      <c r="I155">
        <v>135</v>
      </c>
      <c r="J155">
        <v>131</v>
      </c>
      <c r="K155">
        <v>119.2</v>
      </c>
      <c r="L155">
        <f>'All_India_Index_Upto_April23 (1'!Z155+'All_India_Index_Upto_April23 (1'!AA155+'All_India_Index_Upto_April23 (1'!AB155+'All_India_Index_Upto_April23 (1'!AC155+'All_India_Index_Upto_April23 (1'!AD155</f>
        <v>648.1</v>
      </c>
      <c r="M155">
        <f t="shared" si="22"/>
        <v>3459.1</v>
      </c>
      <c r="N155">
        <f t="shared" si="23"/>
        <v>42.221965251076874</v>
      </c>
      <c r="O155">
        <f t="shared" si="24"/>
        <v>7.6840796739036152</v>
      </c>
      <c r="P155">
        <f t="shared" si="25"/>
        <v>4.1744962562516266</v>
      </c>
      <c r="Q155">
        <f t="shared" si="26"/>
        <v>12.165014020988121</v>
      </c>
      <c r="R155">
        <f t="shared" si="27"/>
        <v>3.8825127923448299</v>
      </c>
      <c r="S155">
        <f t="shared" si="28"/>
        <v>3.9027492700413404</v>
      </c>
      <c r="T155">
        <f t="shared" si="29"/>
        <v>3.7871122546327083</v>
      </c>
      <c r="U155">
        <f t="shared" si="30"/>
        <v>3.4459830591772427</v>
      </c>
      <c r="V155">
        <f t="shared" si="31"/>
        <v>18.736087421583651</v>
      </c>
      <c r="W155">
        <f t="shared" si="32"/>
        <v>100</v>
      </c>
    </row>
    <row r="156" spans="1:23" x14ac:dyDescent="0.3">
      <c r="A156" t="s">
        <v>32</v>
      </c>
      <c r="B156">
        <v>2017</v>
      </c>
      <c r="C156" t="s">
        <v>36</v>
      </c>
      <c r="D156">
        <f>'All_India_Index_Upto_April23 (1'!D156+'All_India_Index_Upto_April23 (1'!G156+'All_India_Index_Upto_April23 (1'!H156+'All_India_Index_Upto_April23 (1'!I156+'All_India_Index_Upto_April23 (1'!J156+'All_India_Index_Upto_April23 (1'!K156+'All_India_Index_Upto_April23 (1'!L156+'All_India_Index_Upto_April23 (1'!M156+'All_India_Index_Upto_April23 (1'!N156+'All_India_Index_Upto_April23 (1'!O156+'All_India_Index_Upto_April23 (1'!P156</f>
        <v>1443</v>
      </c>
      <c r="E156">
        <f>'All_India_Index_Upto_April23 (1'!E156+'All_India_Index_Upto_April23 (1'!F156</f>
        <v>265.10000000000002</v>
      </c>
      <c r="F156">
        <v>148</v>
      </c>
      <c r="G156">
        <f>'All_India_Index_Upto_April23 (1'!R156+'All_India_Index_Upto_April23 (1'!S156+'All_India_Index_Upto_April23 (1'!T156</f>
        <v>384.2</v>
      </c>
      <c r="H156">
        <f>'All_India_Index_Upto_April23 (1'!U156+'All_India_Index_Upto_April23 (1'!W156</f>
        <v>257.7</v>
      </c>
      <c r="I156">
        <v>121.4</v>
      </c>
      <c r="J156">
        <v>123.4</v>
      </c>
      <c r="K156">
        <v>114.3</v>
      </c>
      <c r="L156">
        <f>'All_India_Index_Upto_April23 (1'!Z156+'All_India_Index_Upto_April23 (1'!AA156+'All_India_Index_Upto_April23 (1'!AB156+'All_India_Index_Upto_April23 (1'!AC156+'All_India_Index_Upto_April23 (1'!AD156</f>
        <v>630</v>
      </c>
      <c r="M156">
        <f t="shared" si="22"/>
        <v>3487.1</v>
      </c>
      <c r="N156">
        <f t="shared" si="23"/>
        <v>41.381090304264291</v>
      </c>
      <c r="O156">
        <f t="shared" si="24"/>
        <v>7.6023056407903429</v>
      </c>
      <c r="P156">
        <f t="shared" si="25"/>
        <v>4.2442143901809528</v>
      </c>
      <c r="Q156">
        <f t="shared" si="26"/>
        <v>11.01775113991569</v>
      </c>
      <c r="R156">
        <f t="shared" si="27"/>
        <v>7.3900949212812943</v>
      </c>
      <c r="S156">
        <f t="shared" si="28"/>
        <v>3.4814028849187011</v>
      </c>
      <c r="T156">
        <f t="shared" si="29"/>
        <v>3.5387571334346593</v>
      </c>
      <c r="U156">
        <f t="shared" si="30"/>
        <v>3.2777953026870463</v>
      </c>
      <c r="V156">
        <f t="shared" si="31"/>
        <v>18.066588282527029</v>
      </c>
      <c r="W156">
        <f t="shared" si="32"/>
        <v>99.999999999999972</v>
      </c>
    </row>
    <row r="157" spans="1:23" x14ac:dyDescent="0.3">
      <c r="A157" t="s">
        <v>33</v>
      </c>
      <c r="B157">
        <v>2017</v>
      </c>
      <c r="C157" t="s">
        <v>36</v>
      </c>
      <c r="D157">
        <f>'All_India_Index_Upto_April23 (1'!D157+'All_India_Index_Upto_April23 (1'!G157+'All_India_Index_Upto_April23 (1'!H157+'All_India_Index_Upto_April23 (1'!I157+'All_India_Index_Upto_April23 (1'!J157+'All_India_Index_Upto_April23 (1'!K157+'All_India_Index_Upto_April23 (1'!L157+'All_India_Index_Upto_April23 (1'!M157+'All_India_Index_Upto_April23 (1'!N157+'All_India_Index_Upto_April23 (1'!O157+'All_India_Index_Upto_April23 (1'!P157</f>
        <v>1452.9</v>
      </c>
      <c r="E157">
        <f>'All_India_Index_Upto_April23 (1'!E157+'All_India_Index_Upto_April23 (1'!F157</f>
        <v>265.5</v>
      </c>
      <c r="F157">
        <v>145.4</v>
      </c>
      <c r="G157">
        <f>'All_India_Index_Upto_April23 (1'!R157+'All_India_Index_Upto_April23 (1'!S157+'All_India_Index_Upto_April23 (1'!T157</f>
        <v>406.1</v>
      </c>
      <c r="H157">
        <f>'All_India_Index_Upto_April23 (1'!U157+'All_India_Index_Upto_April23 (1'!W157</f>
        <v>262.10000000000002</v>
      </c>
      <c r="I157">
        <v>129.80000000000001</v>
      </c>
      <c r="J157">
        <v>128.1</v>
      </c>
      <c r="K157">
        <v>116.6</v>
      </c>
      <c r="L157">
        <f>'All_India_Index_Upto_April23 (1'!Z157+'All_India_Index_Upto_April23 (1'!AA157+'All_India_Index_Upto_April23 (1'!AB157+'All_India_Index_Upto_April23 (1'!AC157+'All_India_Index_Upto_April23 (1'!AD157</f>
        <v>638.90000000000009</v>
      </c>
      <c r="M157">
        <f t="shared" si="22"/>
        <v>3545.4</v>
      </c>
      <c r="N157">
        <f t="shared" si="23"/>
        <v>40.979861228634292</v>
      </c>
      <c r="O157">
        <f t="shared" si="24"/>
        <v>7.4885767473345748</v>
      </c>
      <c r="P157">
        <f t="shared" si="25"/>
        <v>4.1010887346984823</v>
      </c>
      <c r="Q157">
        <f t="shared" si="26"/>
        <v>11.454278783776161</v>
      </c>
      <c r="R157">
        <f t="shared" si="27"/>
        <v>7.3926778360692742</v>
      </c>
      <c r="S157">
        <f t="shared" si="28"/>
        <v>3.6610819653635698</v>
      </c>
      <c r="T157">
        <f t="shared" si="29"/>
        <v>3.6131325097309186</v>
      </c>
      <c r="U157">
        <f t="shared" si="30"/>
        <v>3.2887685451571045</v>
      </c>
      <c r="V157">
        <f t="shared" si="31"/>
        <v>18.020533649235631</v>
      </c>
      <c r="W157">
        <f t="shared" si="32"/>
        <v>100</v>
      </c>
    </row>
    <row r="158" spans="1:23" x14ac:dyDescent="0.3">
      <c r="A158" t="s">
        <v>30</v>
      </c>
      <c r="B158">
        <v>2017</v>
      </c>
      <c r="C158" t="s">
        <v>37</v>
      </c>
      <c r="D158">
        <f>'All_India_Index_Upto_April23 (1'!D158+'All_India_Index_Upto_April23 (1'!G158+'All_India_Index_Upto_April23 (1'!H158+'All_India_Index_Upto_April23 (1'!I158+'All_India_Index_Upto_April23 (1'!J158+'All_India_Index_Upto_April23 (1'!K158+'All_India_Index_Upto_April23 (1'!L158+'All_India_Index_Upto_April23 (1'!M158+'All_India_Index_Upto_April23 (1'!N158+'All_India_Index_Upto_April23 (1'!O158+'All_India_Index_Upto_April23 (1'!P158</f>
        <v>1460.3999999999999</v>
      </c>
      <c r="E158">
        <f>'All_India_Index_Upto_April23 (1'!E158+'All_India_Index_Upto_April23 (1'!F158</f>
        <v>267.10000000000002</v>
      </c>
      <c r="F158">
        <v>145.5</v>
      </c>
      <c r="G158">
        <f>'All_India_Index_Upto_April23 (1'!R158+'All_India_Index_Upto_April23 (1'!S158+'All_India_Index_Upto_April23 (1'!T158</f>
        <v>421.6</v>
      </c>
      <c r="H158">
        <f>'All_India_Index_Upto_April23 (1'!U158+'All_India_Index_Upto_April23 (1'!W158</f>
        <v>134.9</v>
      </c>
      <c r="I158">
        <v>135</v>
      </c>
      <c r="J158">
        <v>131.4</v>
      </c>
      <c r="K158">
        <v>119.4</v>
      </c>
      <c r="L158">
        <f>'All_India_Index_Upto_April23 (1'!Z158+'All_India_Index_Upto_April23 (1'!AA158+'All_India_Index_Upto_April23 (1'!AB158+'All_India_Index_Upto_April23 (1'!AC158+'All_India_Index_Upto_April23 (1'!AD158</f>
        <v>650.60000000000014</v>
      </c>
      <c r="M158">
        <f t="shared" si="22"/>
        <v>3465.9000000000005</v>
      </c>
      <c r="N158">
        <f t="shared" si="23"/>
        <v>42.1362416688306</v>
      </c>
      <c r="O158">
        <f t="shared" si="24"/>
        <v>7.7065120170806996</v>
      </c>
      <c r="P158">
        <f t="shared" si="25"/>
        <v>4.1980437981476664</v>
      </c>
      <c r="Q158">
        <f t="shared" si="26"/>
        <v>12.164228627484922</v>
      </c>
      <c r="R158">
        <f t="shared" si="27"/>
        <v>3.8922069303788334</v>
      </c>
      <c r="S158">
        <f t="shared" si="28"/>
        <v>3.8950921838483503</v>
      </c>
      <c r="T158">
        <f t="shared" si="29"/>
        <v>3.7912230589457279</v>
      </c>
      <c r="U158">
        <f t="shared" si="30"/>
        <v>3.4449926426036526</v>
      </c>
      <c r="V158">
        <f t="shared" si="31"/>
        <v>18.771459072679537</v>
      </c>
      <c r="W158">
        <f t="shared" si="32"/>
        <v>99.999999999999986</v>
      </c>
    </row>
    <row r="159" spans="1:23" x14ac:dyDescent="0.3">
      <c r="A159" t="s">
        <v>32</v>
      </c>
      <c r="B159">
        <v>2017</v>
      </c>
      <c r="C159" t="s">
        <v>37</v>
      </c>
      <c r="D159">
        <f>'All_India_Index_Upto_April23 (1'!D159+'All_India_Index_Upto_April23 (1'!G159+'All_India_Index_Upto_April23 (1'!H159+'All_India_Index_Upto_April23 (1'!I159+'All_India_Index_Upto_April23 (1'!J159+'All_India_Index_Upto_April23 (1'!K159+'All_India_Index_Upto_April23 (1'!L159+'All_India_Index_Upto_April23 (1'!M159+'All_India_Index_Upto_April23 (1'!N159+'All_India_Index_Upto_April23 (1'!O159+'All_India_Index_Upto_April23 (1'!P159</f>
        <v>1439.9</v>
      </c>
      <c r="E159">
        <f>'All_India_Index_Upto_April23 (1'!E159+'All_India_Index_Upto_April23 (1'!F159</f>
        <v>269.7</v>
      </c>
      <c r="F159">
        <v>148.30000000000001</v>
      </c>
      <c r="G159">
        <f>'All_India_Index_Upto_April23 (1'!R159+'All_India_Index_Upto_April23 (1'!S159+'All_India_Index_Upto_April23 (1'!T159</f>
        <v>384.9</v>
      </c>
      <c r="H159">
        <f>'All_India_Index_Upto_April23 (1'!U159+'All_India_Index_Upto_April23 (1'!W159</f>
        <v>258.60000000000002</v>
      </c>
      <c r="I159">
        <v>120.1</v>
      </c>
      <c r="J159">
        <v>123.6</v>
      </c>
      <c r="K159">
        <v>114.3</v>
      </c>
      <c r="L159">
        <f>'All_India_Index_Upto_April23 (1'!Z159+'All_India_Index_Upto_April23 (1'!AA159+'All_India_Index_Upto_April23 (1'!AB159+'All_India_Index_Upto_April23 (1'!AC159+'All_India_Index_Upto_April23 (1'!AD159</f>
        <v>630.5</v>
      </c>
      <c r="M159">
        <f t="shared" si="22"/>
        <v>3489.9</v>
      </c>
      <c r="N159">
        <f t="shared" si="23"/>
        <v>41.259061864236799</v>
      </c>
      <c r="O159">
        <f t="shared" si="24"/>
        <v>7.7280151293733335</v>
      </c>
      <c r="P159">
        <f t="shared" si="25"/>
        <v>4.2494054270896013</v>
      </c>
      <c r="Q159">
        <f t="shared" si="26"/>
        <v>11.028969311441587</v>
      </c>
      <c r="R159">
        <f t="shared" si="27"/>
        <v>7.4099544399553006</v>
      </c>
      <c r="S159">
        <f t="shared" si="28"/>
        <v>3.4413593512708096</v>
      </c>
      <c r="T159">
        <f t="shared" si="29"/>
        <v>3.5416487578440639</v>
      </c>
      <c r="U159">
        <f t="shared" si="30"/>
        <v>3.2751654775208459</v>
      </c>
      <c r="V159">
        <f t="shared" si="31"/>
        <v>18.066420241267657</v>
      </c>
      <c r="W159">
        <f t="shared" si="32"/>
        <v>99.999999999999972</v>
      </c>
    </row>
    <row r="160" spans="1:23" x14ac:dyDescent="0.3">
      <c r="A160" t="s">
        <v>33</v>
      </c>
      <c r="B160">
        <v>2017</v>
      </c>
      <c r="C160" t="s">
        <v>37</v>
      </c>
      <c r="D160">
        <f>'All_India_Index_Upto_April23 (1'!D160+'All_India_Index_Upto_April23 (1'!G160+'All_India_Index_Upto_April23 (1'!H160+'All_India_Index_Upto_April23 (1'!I160+'All_India_Index_Upto_April23 (1'!J160+'All_India_Index_Upto_April23 (1'!K160+'All_India_Index_Upto_April23 (1'!L160+'All_India_Index_Upto_April23 (1'!M160+'All_India_Index_Upto_April23 (1'!N160+'All_India_Index_Upto_April23 (1'!O160+'All_India_Index_Upto_April23 (1'!P160</f>
        <v>1451.7</v>
      </c>
      <c r="E160">
        <f>'All_India_Index_Upto_April23 (1'!E160+'All_India_Index_Upto_April23 (1'!F160</f>
        <v>267.89999999999998</v>
      </c>
      <c r="F160">
        <v>146.19999999999999</v>
      </c>
      <c r="G160">
        <f>'All_India_Index_Upto_April23 (1'!R160+'All_India_Index_Upto_April23 (1'!S160+'All_India_Index_Upto_April23 (1'!T160</f>
        <v>406.8</v>
      </c>
      <c r="H160">
        <f>'All_India_Index_Upto_April23 (1'!U160+'All_India_Index_Upto_April23 (1'!W160</f>
        <v>263</v>
      </c>
      <c r="I160">
        <v>129.4</v>
      </c>
      <c r="J160">
        <v>128.4</v>
      </c>
      <c r="K160">
        <v>116.7</v>
      </c>
      <c r="L160">
        <f>'All_India_Index_Upto_April23 (1'!Z160+'All_India_Index_Upto_April23 (1'!AA160+'All_India_Index_Upto_April23 (1'!AB160+'All_India_Index_Upto_April23 (1'!AC160+'All_India_Index_Upto_April23 (1'!AD160</f>
        <v>640.20000000000005</v>
      </c>
      <c r="M160">
        <f t="shared" si="22"/>
        <v>3550.3</v>
      </c>
      <c r="N160">
        <f t="shared" si="23"/>
        <v>40.889502295580655</v>
      </c>
      <c r="O160">
        <f t="shared" si="24"/>
        <v>7.5458411965186034</v>
      </c>
      <c r="P160">
        <f t="shared" si="25"/>
        <v>4.1179618623778262</v>
      </c>
      <c r="Q160">
        <f t="shared" si="26"/>
        <v>11.458186632115595</v>
      </c>
      <c r="R160">
        <f t="shared" si="27"/>
        <v>7.4078246908711938</v>
      </c>
      <c r="S160">
        <f t="shared" si="28"/>
        <v>3.64476241444385</v>
      </c>
      <c r="T160">
        <f t="shared" si="29"/>
        <v>3.6165957806382556</v>
      </c>
      <c r="U160">
        <f t="shared" si="30"/>
        <v>3.2870461651128071</v>
      </c>
      <c r="V160">
        <f t="shared" si="31"/>
        <v>18.032278962341213</v>
      </c>
      <c r="W160">
        <f t="shared" si="32"/>
        <v>99.999999999999986</v>
      </c>
    </row>
    <row r="161" spans="1:23" x14ac:dyDescent="0.3">
      <c r="A161" t="s">
        <v>30</v>
      </c>
      <c r="B161">
        <v>2017</v>
      </c>
      <c r="C161" t="s">
        <v>38</v>
      </c>
      <c r="D161">
        <f>'All_India_Index_Upto_April23 (1'!D161+'All_India_Index_Upto_April23 (1'!G161+'All_India_Index_Upto_April23 (1'!H161+'All_India_Index_Upto_April23 (1'!I161+'All_India_Index_Upto_April23 (1'!J161+'All_India_Index_Upto_April23 (1'!K161+'All_India_Index_Upto_April23 (1'!L161+'All_India_Index_Upto_April23 (1'!M161+'All_India_Index_Upto_April23 (1'!N161+'All_India_Index_Upto_April23 (1'!O161+'All_India_Index_Upto_April23 (1'!P161</f>
        <v>1467.1000000000004</v>
      </c>
      <c r="E161">
        <f>'All_India_Index_Upto_April23 (1'!E161+'All_India_Index_Upto_April23 (1'!F161</f>
        <v>271.7</v>
      </c>
      <c r="F161">
        <v>145.80000000000001</v>
      </c>
      <c r="G161">
        <f>'All_India_Index_Upto_April23 (1'!R161+'All_India_Index_Upto_April23 (1'!S161+'All_India_Index_Upto_April23 (1'!T161</f>
        <v>423.09999999999997</v>
      </c>
      <c r="H161">
        <f>'All_India_Index_Upto_April23 (1'!U161+'All_India_Index_Upto_April23 (1'!W161</f>
        <v>135.19999999999999</v>
      </c>
      <c r="I161">
        <v>134.80000000000001</v>
      </c>
      <c r="J161">
        <v>131.30000000000001</v>
      </c>
      <c r="K161">
        <v>119.4</v>
      </c>
      <c r="L161">
        <f>'All_India_Index_Upto_April23 (1'!Z161+'All_India_Index_Upto_April23 (1'!AA161+'All_India_Index_Upto_April23 (1'!AB161+'All_India_Index_Upto_April23 (1'!AC161+'All_India_Index_Upto_April23 (1'!AD161</f>
        <v>652.80000000000007</v>
      </c>
      <c r="M161">
        <f t="shared" si="22"/>
        <v>3481.2000000000007</v>
      </c>
      <c r="N161">
        <f t="shared" si="23"/>
        <v>42.143513730897389</v>
      </c>
      <c r="O161">
        <f t="shared" si="24"/>
        <v>7.8047799609330104</v>
      </c>
      <c r="P161">
        <f t="shared" si="25"/>
        <v>4.1882109617373313</v>
      </c>
      <c r="Q161">
        <f t="shared" si="26"/>
        <v>12.153854992531308</v>
      </c>
      <c r="R161">
        <f t="shared" si="27"/>
        <v>3.8837182580719283</v>
      </c>
      <c r="S161">
        <f t="shared" si="28"/>
        <v>3.8722279673675737</v>
      </c>
      <c r="T161">
        <f t="shared" si="29"/>
        <v>3.7716879237044689</v>
      </c>
      <c r="U161">
        <f t="shared" si="30"/>
        <v>3.4298517752499134</v>
      </c>
      <c r="V161">
        <f t="shared" si="31"/>
        <v>18.752154429507065</v>
      </c>
      <c r="W161">
        <f t="shared" si="32"/>
        <v>99.999999999999972</v>
      </c>
    </row>
    <row r="162" spans="1:23" x14ac:dyDescent="0.3">
      <c r="A162" t="s">
        <v>32</v>
      </c>
      <c r="B162">
        <v>2017</v>
      </c>
      <c r="C162" t="s">
        <v>38</v>
      </c>
      <c r="D162">
        <f>'All_India_Index_Upto_April23 (1'!D162+'All_India_Index_Upto_April23 (1'!G162+'All_India_Index_Upto_April23 (1'!H162+'All_India_Index_Upto_April23 (1'!I162+'All_India_Index_Upto_April23 (1'!J162+'All_India_Index_Upto_April23 (1'!K162+'All_India_Index_Upto_April23 (1'!L162+'All_India_Index_Upto_April23 (1'!M162+'All_India_Index_Upto_April23 (1'!N162+'All_India_Index_Upto_April23 (1'!O162+'All_India_Index_Upto_April23 (1'!P162</f>
        <v>1454.0000000000002</v>
      </c>
      <c r="E162">
        <f>'All_India_Index_Upto_April23 (1'!E162+'All_India_Index_Upto_April23 (1'!F162</f>
        <v>277</v>
      </c>
      <c r="F162">
        <v>148.6</v>
      </c>
      <c r="G162">
        <f>'All_India_Index_Upto_April23 (1'!R162+'All_India_Index_Upto_April23 (1'!S162+'All_India_Index_Upto_April23 (1'!T162</f>
        <v>384.9</v>
      </c>
      <c r="H162">
        <f>'All_India_Index_Upto_April23 (1'!U162+'All_India_Index_Upto_April23 (1'!W162</f>
        <v>258.2</v>
      </c>
      <c r="I162">
        <v>119</v>
      </c>
      <c r="J162">
        <v>123.8</v>
      </c>
      <c r="K162">
        <v>113.9</v>
      </c>
      <c r="L162">
        <f>'All_India_Index_Upto_April23 (1'!Z162+'All_India_Index_Upto_April23 (1'!AA162+'All_India_Index_Upto_April23 (1'!AB162+'All_India_Index_Upto_April23 (1'!AC162+'All_India_Index_Upto_April23 (1'!AD162</f>
        <v>632.30000000000007</v>
      </c>
      <c r="M162">
        <f t="shared" si="22"/>
        <v>3511.7000000000003</v>
      </c>
      <c r="N162">
        <f t="shared" si="23"/>
        <v>41.404447988153883</v>
      </c>
      <c r="O162">
        <f t="shared" si="24"/>
        <v>7.8879175328188627</v>
      </c>
      <c r="P162">
        <f t="shared" si="25"/>
        <v>4.2315687558732229</v>
      </c>
      <c r="Q162">
        <f t="shared" si="26"/>
        <v>10.960503459862743</v>
      </c>
      <c r="R162">
        <f t="shared" si="27"/>
        <v>7.35256428510408</v>
      </c>
      <c r="S162">
        <f t="shared" si="28"/>
        <v>3.388672153088248</v>
      </c>
      <c r="T162">
        <f t="shared" si="29"/>
        <v>3.5253580886750004</v>
      </c>
      <c r="U162">
        <f t="shared" si="30"/>
        <v>3.2434433465273229</v>
      </c>
      <c r="V162">
        <f t="shared" si="31"/>
        <v>18.005524389896632</v>
      </c>
      <c r="W162">
        <f t="shared" si="32"/>
        <v>100.00000000000001</v>
      </c>
    </row>
    <row r="163" spans="1:23" x14ac:dyDescent="0.3">
      <c r="A163" t="s">
        <v>33</v>
      </c>
      <c r="B163">
        <v>2017</v>
      </c>
      <c r="C163" t="s">
        <v>38</v>
      </c>
      <c r="D163">
        <f>'All_India_Index_Upto_April23 (1'!D163+'All_India_Index_Upto_April23 (1'!G163+'All_India_Index_Upto_April23 (1'!H163+'All_India_Index_Upto_April23 (1'!I163+'All_India_Index_Upto_April23 (1'!J163+'All_India_Index_Upto_April23 (1'!K163+'All_India_Index_Upto_April23 (1'!L163+'All_India_Index_Upto_April23 (1'!M163+'All_India_Index_Upto_April23 (1'!N163+'All_India_Index_Upto_April23 (1'!O163+'All_India_Index_Upto_April23 (1'!P163</f>
        <v>1461.1000000000001</v>
      </c>
      <c r="E163">
        <f>'All_India_Index_Upto_April23 (1'!E163+'All_India_Index_Upto_April23 (1'!F163</f>
        <v>273.60000000000002</v>
      </c>
      <c r="F163">
        <v>146.5</v>
      </c>
      <c r="G163">
        <f>'All_India_Index_Upto_April23 (1'!R163+'All_India_Index_Upto_April23 (1'!S163+'All_India_Index_Upto_April23 (1'!T163</f>
        <v>407.7</v>
      </c>
      <c r="H163">
        <f>'All_India_Index_Upto_April23 (1'!U163+'All_India_Index_Upto_April23 (1'!W163</f>
        <v>262.60000000000002</v>
      </c>
      <c r="I163">
        <v>128.80000000000001</v>
      </c>
      <c r="J163">
        <v>128.5</v>
      </c>
      <c r="K163">
        <v>116.5</v>
      </c>
      <c r="L163">
        <f>'All_India_Index_Upto_April23 (1'!Z163+'All_India_Index_Upto_April23 (1'!AA163+'All_India_Index_Upto_April23 (1'!AB163+'All_India_Index_Upto_April23 (1'!AC163+'All_India_Index_Upto_April23 (1'!AD163</f>
        <v>642.20000000000005</v>
      </c>
      <c r="M163">
        <f t="shared" si="22"/>
        <v>3567.5</v>
      </c>
      <c r="N163">
        <f t="shared" si="23"/>
        <v>40.95585143658024</v>
      </c>
      <c r="O163">
        <f t="shared" si="24"/>
        <v>7.6692361597757541</v>
      </c>
      <c r="P163">
        <f t="shared" si="25"/>
        <v>4.1065171688857749</v>
      </c>
      <c r="Q163">
        <f t="shared" si="26"/>
        <v>11.428170988086896</v>
      </c>
      <c r="R163">
        <f t="shared" si="27"/>
        <v>7.3608969866853542</v>
      </c>
      <c r="S163">
        <f t="shared" si="28"/>
        <v>3.6103714085494043</v>
      </c>
      <c r="T163">
        <f t="shared" si="29"/>
        <v>3.6019621583742119</v>
      </c>
      <c r="U163">
        <f t="shared" si="30"/>
        <v>3.2655921513665032</v>
      </c>
      <c r="V163">
        <f t="shared" si="31"/>
        <v>18.001401541695866</v>
      </c>
      <c r="W163">
        <f t="shared" si="32"/>
        <v>100</v>
      </c>
    </row>
    <row r="164" spans="1:23" x14ac:dyDescent="0.3">
      <c r="A164" t="s">
        <v>30</v>
      </c>
      <c r="B164">
        <v>2017</v>
      </c>
      <c r="C164" t="s">
        <v>39</v>
      </c>
      <c r="D164">
        <f>'All_India_Index_Upto_April23 (1'!D164+'All_India_Index_Upto_April23 (1'!G164+'All_India_Index_Upto_April23 (1'!H164+'All_India_Index_Upto_April23 (1'!I164+'All_India_Index_Upto_April23 (1'!J164+'All_India_Index_Upto_April23 (1'!K164+'All_India_Index_Upto_April23 (1'!L164+'All_India_Index_Upto_April23 (1'!M164+'All_India_Index_Upto_April23 (1'!N164+'All_India_Index_Upto_April23 (1'!O164+'All_India_Index_Upto_April23 (1'!P164</f>
        <v>1498.9</v>
      </c>
      <c r="E164">
        <f>'All_India_Index_Upto_April23 (1'!E164+'All_India_Index_Upto_April23 (1'!F164</f>
        <v>274</v>
      </c>
      <c r="F164">
        <v>147.4</v>
      </c>
      <c r="G164">
        <f>'All_India_Index_Upto_April23 (1'!R164+'All_India_Index_Upto_April23 (1'!S164+'All_India_Index_Upto_April23 (1'!T164</f>
        <v>425.9</v>
      </c>
      <c r="H164">
        <f>'All_India_Index_Upto_April23 (1'!U164+'All_India_Index_Upto_April23 (1'!W164</f>
        <v>136.1</v>
      </c>
      <c r="I164">
        <v>135.30000000000001</v>
      </c>
      <c r="J164">
        <v>132.1</v>
      </c>
      <c r="K164">
        <v>119.1</v>
      </c>
      <c r="L164">
        <f>'All_India_Index_Upto_April23 (1'!Z164+'All_India_Index_Upto_April23 (1'!AA164+'All_India_Index_Upto_April23 (1'!AB164+'All_India_Index_Upto_April23 (1'!AC164+'All_India_Index_Upto_April23 (1'!AD164</f>
        <v>658.40000000000009</v>
      </c>
      <c r="M164">
        <f t="shared" si="22"/>
        <v>3527.2000000000003</v>
      </c>
      <c r="N164">
        <f t="shared" si="23"/>
        <v>42.495463823996374</v>
      </c>
      <c r="O164">
        <f t="shared" si="24"/>
        <v>7.7682014062145601</v>
      </c>
      <c r="P164">
        <f t="shared" si="25"/>
        <v>4.1789521433431611</v>
      </c>
      <c r="Q164">
        <f t="shared" si="26"/>
        <v>12.074733499659786</v>
      </c>
      <c r="R164">
        <f t="shared" si="27"/>
        <v>3.8585847130868678</v>
      </c>
      <c r="S164">
        <f t="shared" si="28"/>
        <v>3.8359038330687234</v>
      </c>
      <c r="T164">
        <f t="shared" si="29"/>
        <v>3.7451803129961436</v>
      </c>
      <c r="U164">
        <f t="shared" si="30"/>
        <v>3.3766160127012923</v>
      </c>
      <c r="V164">
        <f t="shared" si="31"/>
        <v>18.666364254933093</v>
      </c>
      <c r="W164">
        <f t="shared" si="32"/>
        <v>100</v>
      </c>
    </row>
    <row r="165" spans="1:23" x14ac:dyDescent="0.3">
      <c r="A165" t="s">
        <v>32</v>
      </c>
      <c r="B165">
        <v>2017</v>
      </c>
      <c r="C165" t="s">
        <v>39</v>
      </c>
      <c r="D165">
        <f>'All_India_Index_Upto_April23 (1'!D165+'All_India_Index_Upto_April23 (1'!G165+'All_India_Index_Upto_April23 (1'!H165+'All_India_Index_Upto_April23 (1'!I165+'All_India_Index_Upto_April23 (1'!J165+'All_India_Index_Upto_April23 (1'!K165+'All_India_Index_Upto_April23 (1'!L165+'All_India_Index_Upto_April23 (1'!M165+'All_India_Index_Upto_April23 (1'!N165+'All_India_Index_Upto_April23 (1'!O165+'All_India_Index_Upto_April23 (1'!P165</f>
        <v>1490.3000000000002</v>
      </c>
      <c r="E165">
        <f>'All_India_Index_Upto_April23 (1'!E165+'All_India_Index_Upto_April23 (1'!F165</f>
        <v>277.8</v>
      </c>
      <c r="F165">
        <v>150.5</v>
      </c>
      <c r="G165">
        <f>'All_India_Index_Upto_April23 (1'!R165+'All_India_Index_Upto_April23 (1'!S165+'All_India_Index_Upto_April23 (1'!T165</f>
        <v>385.70000000000005</v>
      </c>
      <c r="H165">
        <f>'All_India_Index_Upto_April23 (1'!U165+'All_India_Index_Upto_April23 (1'!W165</f>
        <v>259.8</v>
      </c>
      <c r="I165">
        <v>119.7</v>
      </c>
      <c r="J165">
        <v>125</v>
      </c>
      <c r="K165">
        <v>113.2</v>
      </c>
      <c r="L165">
        <f>'All_India_Index_Upto_April23 (1'!Z165+'All_India_Index_Upto_April23 (1'!AA165+'All_India_Index_Upto_April23 (1'!AB165+'All_India_Index_Upto_April23 (1'!AC165+'All_India_Index_Upto_April23 (1'!AD165</f>
        <v>636.20000000000005</v>
      </c>
      <c r="M165">
        <f t="shared" si="22"/>
        <v>3558.2</v>
      </c>
      <c r="N165">
        <f t="shared" si="23"/>
        <v>41.883536619639152</v>
      </c>
      <c r="O165">
        <f t="shared" si="24"/>
        <v>7.8073183070091634</v>
      </c>
      <c r="P165">
        <f t="shared" si="25"/>
        <v>4.2296666854027318</v>
      </c>
      <c r="Q165">
        <f t="shared" si="26"/>
        <v>10.839750435613514</v>
      </c>
      <c r="R165">
        <f t="shared" si="27"/>
        <v>7.3014445506154813</v>
      </c>
      <c r="S165">
        <f t="shared" si="28"/>
        <v>3.364060480017987</v>
      </c>
      <c r="T165">
        <f t="shared" si="29"/>
        <v>3.5130121971783486</v>
      </c>
      <c r="U165">
        <f t="shared" si="30"/>
        <v>3.1813838457647128</v>
      </c>
      <c r="V165">
        <f t="shared" si="31"/>
        <v>17.879826878758927</v>
      </c>
      <c r="W165">
        <f t="shared" si="32"/>
        <v>100.00000000000003</v>
      </c>
    </row>
    <row r="166" spans="1:23" x14ac:dyDescent="0.3">
      <c r="A166" t="s">
        <v>33</v>
      </c>
      <c r="B166">
        <v>2017</v>
      </c>
      <c r="C166" t="s">
        <v>39</v>
      </c>
      <c r="D166">
        <f>'All_India_Index_Upto_April23 (1'!D166+'All_India_Index_Upto_April23 (1'!G166+'All_India_Index_Upto_April23 (1'!H166+'All_India_Index_Upto_April23 (1'!I166+'All_India_Index_Upto_April23 (1'!J166+'All_India_Index_Upto_April23 (1'!K166+'All_India_Index_Upto_April23 (1'!L166+'All_India_Index_Upto_April23 (1'!M166+'All_India_Index_Upto_April23 (1'!N166+'All_India_Index_Upto_April23 (1'!O166+'All_India_Index_Upto_April23 (1'!P166</f>
        <v>1494.1</v>
      </c>
      <c r="E166">
        <f>'All_India_Index_Upto_April23 (1'!E166+'All_India_Index_Upto_April23 (1'!F166</f>
        <v>275.29999999999995</v>
      </c>
      <c r="F166">
        <v>148.19999999999999</v>
      </c>
      <c r="G166">
        <f>'All_India_Index_Upto_April23 (1'!R166+'All_India_Index_Upto_April23 (1'!S166+'All_India_Index_Upto_April23 (1'!T166</f>
        <v>409.7</v>
      </c>
      <c r="H166">
        <f>'All_India_Index_Upto_April23 (1'!U166+'All_India_Index_Upto_April23 (1'!W166</f>
        <v>264.5</v>
      </c>
      <c r="I166">
        <v>129.4</v>
      </c>
      <c r="J166">
        <v>129.4</v>
      </c>
      <c r="K166">
        <v>116</v>
      </c>
      <c r="L166">
        <f>'All_India_Index_Upto_April23 (1'!Z166+'All_India_Index_Upto_April23 (1'!AA166+'All_India_Index_Upto_April23 (1'!AB166+'All_India_Index_Upto_April23 (1'!AC166+'All_India_Index_Upto_April23 (1'!AD166</f>
        <v>647.09999999999991</v>
      </c>
      <c r="M166">
        <f t="shared" si="22"/>
        <v>3613.7</v>
      </c>
      <c r="N166">
        <f t="shared" si="23"/>
        <v>41.34543542629438</v>
      </c>
      <c r="O166">
        <f t="shared" si="24"/>
        <v>7.6182306223538196</v>
      </c>
      <c r="P166">
        <f t="shared" si="25"/>
        <v>4.101059855549714</v>
      </c>
      <c r="Q166">
        <f t="shared" si="26"/>
        <v>11.337410410382711</v>
      </c>
      <c r="R166">
        <f t="shared" si="27"/>
        <v>7.319367960815784</v>
      </c>
      <c r="S166">
        <f t="shared" si="28"/>
        <v>3.5808174447242442</v>
      </c>
      <c r="T166">
        <f t="shared" si="29"/>
        <v>3.5808174447242442</v>
      </c>
      <c r="U166">
        <f t="shared" si="30"/>
        <v>3.2100063646677923</v>
      </c>
      <c r="V166">
        <f t="shared" si="31"/>
        <v>17.90685447048731</v>
      </c>
      <c r="W166">
        <f t="shared" si="32"/>
        <v>100</v>
      </c>
    </row>
    <row r="167" spans="1:23" x14ac:dyDescent="0.3">
      <c r="A167" t="s">
        <v>30</v>
      </c>
      <c r="B167">
        <v>2017</v>
      </c>
      <c r="C167" t="s">
        <v>40</v>
      </c>
      <c r="D167">
        <f>'All_India_Index_Upto_April23 (1'!D167+'All_India_Index_Upto_April23 (1'!G167+'All_India_Index_Upto_April23 (1'!H167+'All_India_Index_Upto_April23 (1'!I167+'All_India_Index_Upto_April23 (1'!J167+'All_India_Index_Upto_April23 (1'!K167+'All_India_Index_Upto_April23 (1'!L167+'All_India_Index_Upto_April23 (1'!M167+'All_India_Index_Upto_April23 (1'!N167+'All_India_Index_Upto_April23 (1'!O167+'All_India_Index_Upto_April23 (1'!P167</f>
        <v>1519.3999999999999</v>
      </c>
      <c r="E167">
        <f>'All_India_Index_Upto_April23 (1'!E167+'All_India_Index_Upto_April23 (1'!F167</f>
        <v>273.10000000000002</v>
      </c>
      <c r="F167">
        <v>149</v>
      </c>
      <c r="G167">
        <f>'All_India_Index_Upto_April23 (1'!R167+'All_India_Index_Upto_April23 (1'!S167+'All_India_Index_Upto_April23 (1'!T167</f>
        <v>429</v>
      </c>
      <c r="H167">
        <f>'All_India_Index_Upto_April23 (1'!U167+'All_India_Index_Upto_April23 (1'!W167</f>
        <v>137.30000000000001</v>
      </c>
      <c r="I167">
        <v>136.4</v>
      </c>
      <c r="J167">
        <v>133</v>
      </c>
      <c r="K167">
        <v>120.3</v>
      </c>
      <c r="L167">
        <f>'All_India_Index_Upto_April23 (1'!Z167+'All_India_Index_Upto_April23 (1'!AA167+'All_India_Index_Upto_April23 (1'!AB167+'All_India_Index_Upto_April23 (1'!AC167+'All_India_Index_Upto_April23 (1'!AD167</f>
        <v>664.59999999999991</v>
      </c>
      <c r="M167">
        <f t="shared" si="22"/>
        <v>3562.1000000000004</v>
      </c>
      <c r="N167">
        <f t="shared" si="23"/>
        <v>42.6546138513798</v>
      </c>
      <c r="O167">
        <f t="shared" si="24"/>
        <v>7.6668257488560112</v>
      </c>
      <c r="P167">
        <f t="shared" si="25"/>
        <v>4.1829258021953333</v>
      </c>
      <c r="Q167">
        <f t="shared" si="26"/>
        <v>12.043457511018779</v>
      </c>
      <c r="R167">
        <f t="shared" si="27"/>
        <v>3.8544678700766402</v>
      </c>
      <c r="S167">
        <f t="shared" si="28"/>
        <v>3.829201875298279</v>
      </c>
      <c r="T167">
        <f t="shared" si="29"/>
        <v>3.7337525616911367</v>
      </c>
      <c r="U167">
        <f t="shared" si="30"/>
        <v>3.3772213020409301</v>
      </c>
      <c r="V167">
        <f t="shared" si="31"/>
        <v>18.657533477443078</v>
      </c>
      <c r="W167">
        <f t="shared" si="32"/>
        <v>100</v>
      </c>
    </row>
    <row r="168" spans="1:23" x14ac:dyDescent="0.3">
      <c r="A168" t="s">
        <v>32</v>
      </c>
      <c r="B168">
        <v>2017</v>
      </c>
      <c r="C168" t="s">
        <v>40</v>
      </c>
      <c r="D168">
        <f>'All_India_Index_Upto_April23 (1'!D168+'All_India_Index_Upto_April23 (1'!G168+'All_India_Index_Upto_April23 (1'!H168+'All_India_Index_Upto_April23 (1'!I168+'All_India_Index_Upto_April23 (1'!J168+'All_India_Index_Upto_April23 (1'!K168+'All_India_Index_Upto_April23 (1'!L168+'All_India_Index_Upto_April23 (1'!M168+'All_India_Index_Upto_April23 (1'!N168+'All_India_Index_Upto_April23 (1'!O168+'All_India_Index_Upto_April23 (1'!P168</f>
        <v>1500.7999999999997</v>
      </c>
      <c r="E168">
        <f>'All_India_Index_Upto_April23 (1'!E168+'All_India_Index_Upto_April23 (1'!F168</f>
        <v>272.20000000000005</v>
      </c>
      <c r="F168">
        <v>152.1</v>
      </c>
      <c r="G168">
        <f>'All_India_Index_Upto_April23 (1'!R168+'All_India_Index_Upto_April23 (1'!S168+'All_India_Index_Upto_April23 (1'!T168</f>
        <v>388.4</v>
      </c>
      <c r="H168">
        <f>'All_India_Index_Upto_April23 (1'!U168+'All_India_Index_Upto_April23 (1'!W168</f>
        <v>262.10000000000002</v>
      </c>
      <c r="I168">
        <v>118.9</v>
      </c>
      <c r="J168">
        <v>125.7</v>
      </c>
      <c r="K168">
        <v>114.6</v>
      </c>
      <c r="L168">
        <f>'All_India_Index_Upto_April23 (1'!Z168+'All_India_Index_Upto_April23 (1'!AA168+'All_India_Index_Upto_April23 (1'!AB168+'All_India_Index_Upto_April23 (1'!AC168+'All_India_Index_Upto_April23 (1'!AD168</f>
        <v>639.59999999999991</v>
      </c>
      <c r="M168">
        <f t="shared" si="22"/>
        <v>3574.3999999999992</v>
      </c>
      <c r="N168">
        <f t="shared" si="23"/>
        <v>41.987466427931963</v>
      </c>
      <c r="O168">
        <f t="shared" si="24"/>
        <v>7.615264100268579</v>
      </c>
      <c r="P168">
        <f t="shared" si="25"/>
        <v>4.2552596239928384</v>
      </c>
      <c r="Q168">
        <f t="shared" si="26"/>
        <v>10.866159355416295</v>
      </c>
      <c r="R168">
        <f t="shared" si="27"/>
        <v>7.3326991942703685</v>
      </c>
      <c r="S168">
        <f t="shared" si="28"/>
        <v>3.3264324082363483</v>
      </c>
      <c r="T168">
        <f t="shared" si="29"/>
        <v>3.5166741271262318</v>
      </c>
      <c r="U168">
        <f t="shared" si="30"/>
        <v>3.2061324977618626</v>
      </c>
      <c r="V168">
        <f t="shared" si="31"/>
        <v>17.893912264995528</v>
      </c>
      <c r="W168">
        <f t="shared" si="32"/>
        <v>100.00000000000003</v>
      </c>
    </row>
    <row r="169" spans="1:23" x14ac:dyDescent="0.3">
      <c r="A169" t="s">
        <v>33</v>
      </c>
      <c r="B169">
        <v>2017</v>
      </c>
      <c r="C169" t="s">
        <v>40</v>
      </c>
      <c r="D169">
        <f>'All_India_Index_Upto_April23 (1'!D169+'All_India_Index_Upto_April23 (1'!G169+'All_India_Index_Upto_April23 (1'!H169+'All_India_Index_Upto_April23 (1'!I169+'All_India_Index_Upto_April23 (1'!J169+'All_India_Index_Upto_April23 (1'!K169+'All_India_Index_Upto_April23 (1'!L169+'All_India_Index_Upto_April23 (1'!M169+'All_India_Index_Upto_April23 (1'!N169+'All_India_Index_Upto_April23 (1'!O169+'All_India_Index_Upto_April23 (1'!P169</f>
        <v>1511.1</v>
      </c>
      <c r="E169">
        <f>'All_India_Index_Upto_April23 (1'!E169+'All_India_Index_Upto_April23 (1'!F169</f>
        <v>272.70000000000005</v>
      </c>
      <c r="F169">
        <v>149.80000000000001</v>
      </c>
      <c r="G169">
        <f>'All_India_Index_Upto_April23 (1'!R169+'All_India_Index_Upto_April23 (1'!S169+'All_India_Index_Upto_April23 (1'!T169</f>
        <v>412.6</v>
      </c>
      <c r="H169">
        <f>'All_India_Index_Upto_April23 (1'!U169+'All_India_Index_Upto_April23 (1'!W169</f>
        <v>267.20000000000005</v>
      </c>
      <c r="I169">
        <v>129.80000000000001</v>
      </c>
      <c r="J169">
        <v>130.19999999999999</v>
      </c>
      <c r="K169">
        <v>117.3</v>
      </c>
      <c r="L169">
        <f>'All_India_Index_Upto_April23 (1'!Z169+'All_India_Index_Upto_April23 (1'!AA169+'All_India_Index_Upto_April23 (1'!AB169+'All_India_Index_Upto_April23 (1'!AC169+'All_India_Index_Upto_April23 (1'!AD169</f>
        <v>651.59999999999991</v>
      </c>
      <c r="M169">
        <f t="shared" si="22"/>
        <v>3642.2999999999997</v>
      </c>
      <c r="N169">
        <f t="shared" si="23"/>
        <v>41.487521620953792</v>
      </c>
      <c r="O169">
        <f t="shared" si="24"/>
        <v>7.4870274277242421</v>
      </c>
      <c r="P169">
        <f t="shared" si="25"/>
        <v>4.1127858770557069</v>
      </c>
      <c r="Q169">
        <f t="shared" si="26"/>
        <v>11.328007028525933</v>
      </c>
      <c r="R169">
        <f t="shared" si="27"/>
        <v>7.3360239409164558</v>
      </c>
      <c r="S169">
        <f t="shared" si="28"/>
        <v>3.5636822886637569</v>
      </c>
      <c r="T169">
        <f t="shared" si="29"/>
        <v>3.5746643604315951</v>
      </c>
      <c r="U169">
        <f t="shared" si="30"/>
        <v>3.2204925459187876</v>
      </c>
      <c r="V169">
        <f t="shared" si="31"/>
        <v>17.889794909809734</v>
      </c>
      <c r="W169">
        <f t="shared" si="32"/>
        <v>100.00000000000001</v>
      </c>
    </row>
    <row r="170" spans="1:23" x14ac:dyDescent="0.3">
      <c r="A170" t="s">
        <v>30</v>
      </c>
      <c r="B170">
        <v>2017</v>
      </c>
      <c r="C170" t="s">
        <v>41</v>
      </c>
      <c r="D170">
        <f>'All_India_Index_Upto_April23 (1'!D170+'All_India_Index_Upto_April23 (1'!G170+'All_India_Index_Upto_April23 (1'!H170+'All_India_Index_Upto_April23 (1'!I170+'All_India_Index_Upto_April23 (1'!J170+'All_India_Index_Upto_April23 (1'!K170+'All_India_Index_Upto_April23 (1'!L170+'All_India_Index_Upto_April23 (1'!M170+'All_India_Index_Upto_April23 (1'!N170+'All_India_Index_Upto_April23 (1'!O170+'All_India_Index_Upto_April23 (1'!P170</f>
        <v>1511.8</v>
      </c>
      <c r="E170">
        <f>'All_India_Index_Upto_April23 (1'!E170+'All_India_Index_Upto_April23 (1'!F170</f>
        <v>272.5</v>
      </c>
      <c r="F170">
        <v>149.80000000000001</v>
      </c>
      <c r="G170">
        <f>'All_India_Index_Upto_April23 (1'!R170+'All_India_Index_Upto_April23 (1'!S170+'All_India_Index_Upto_April23 (1'!T170</f>
        <v>430.99999999999994</v>
      </c>
      <c r="H170">
        <f>'All_India_Index_Upto_April23 (1'!U170+'All_India_Index_Upto_April23 (1'!W170</f>
        <v>137.9</v>
      </c>
      <c r="I170">
        <v>137.4</v>
      </c>
      <c r="J170">
        <v>133.4</v>
      </c>
      <c r="K170">
        <v>121.2</v>
      </c>
      <c r="L170">
        <f>'All_India_Index_Upto_April23 (1'!Z170+'All_India_Index_Upto_April23 (1'!AA170+'All_India_Index_Upto_April23 (1'!AB170+'All_India_Index_Upto_April23 (1'!AC170+'All_India_Index_Upto_April23 (1'!AD170</f>
        <v>666.5</v>
      </c>
      <c r="M170">
        <f t="shared" si="22"/>
        <v>3561.5</v>
      </c>
      <c r="N170">
        <f t="shared" si="23"/>
        <v>42.448406570265334</v>
      </c>
      <c r="O170">
        <f t="shared" si="24"/>
        <v>7.6512705320791792</v>
      </c>
      <c r="P170">
        <f t="shared" si="25"/>
        <v>4.2060929383686645</v>
      </c>
      <c r="Q170">
        <f t="shared" si="26"/>
        <v>12.101642566334409</v>
      </c>
      <c r="R170">
        <f t="shared" si="27"/>
        <v>3.8719640600870422</v>
      </c>
      <c r="S170">
        <f t="shared" si="28"/>
        <v>3.8579250315878144</v>
      </c>
      <c r="T170">
        <f t="shared" si="29"/>
        <v>3.7456128035939917</v>
      </c>
      <c r="U170">
        <f t="shared" si="30"/>
        <v>3.4030605082128318</v>
      </c>
      <c r="V170">
        <f t="shared" si="31"/>
        <v>18.71402498947073</v>
      </c>
      <c r="W170">
        <f t="shared" si="32"/>
        <v>99.999999999999986</v>
      </c>
    </row>
    <row r="171" spans="1:23" x14ac:dyDescent="0.3">
      <c r="A171" t="s">
        <v>32</v>
      </c>
      <c r="B171">
        <v>2017</v>
      </c>
      <c r="C171" t="s">
        <v>41</v>
      </c>
      <c r="D171">
        <f>'All_India_Index_Upto_April23 (1'!D171+'All_India_Index_Upto_April23 (1'!G171+'All_India_Index_Upto_April23 (1'!H171+'All_India_Index_Upto_April23 (1'!I171+'All_India_Index_Upto_April23 (1'!J171+'All_India_Index_Upto_April23 (1'!K171+'All_India_Index_Upto_April23 (1'!L171+'All_India_Index_Upto_April23 (1'!M171+'All_India_Index_Upto_April23 (1'!N171+'All_India_Index_Upto_April23 (1'!O171+'All_India_Index_Upto_April23 (1'!P171</f>
        <v>1477</v>
      </c>
      <c r="E171">
        <f>'All_India_Index_Upto_April23 (1'!E171+'All_India_Index_Upto_April23 (1'!F171</f>
        <v>272.7</v>
      </c>
      <c r="F171">
        <v>153.6</v>
      </c>
      <c r="G171">
        <f>'All_India_Index_Upto_April23 (1'!R171+'All_India_Index_Upto_April23 (1'!S171+'All_India_Index_Upto_April23 (1'!T171</f>
        <v>389.9</v>
      </c>
      <c r="H171">
        <f>'All_India_Index_Upto_April23 (1'!U171+'All_India_Index_Upto_April23 (1'!W171</f>
        <v>263.79999999999995</v>
      </c>
      <c r="I171">
        <v>120.6</v>
      </c>
      <c r="J171">
        <v>126.1</v>
      </c>
      <c r="K171">
        <v>115.7</v>
      </c>
      <c r="L171">
        <f>'All_India_Index_Upto_April23 (1'!Z171+'All_India_Index_Upto_April23 (1'!AA171+'All_India_Index_Upto_April23 (1'!AB171+'All_India_Index_Upto_April23 (1'!AC171+'All_India_Index_Upto_April23 (1'!AD171</f>
        <v>641.69999999999993</v>
      </c>
      <c r="M171">
        <f t="shared" si="22"/>
        <v>3561.0999999999995</v>
      </c>
      <c r="N171">
        <f t="shared" si="23"/>
        <v>41.475948442896865</v>
      </c>
      <c r="O171">
        <f t="shared" si="24"/>
        <v>7.6577462020162317</v>
      </c>
      <c r="P171">
        <f t="shared" si="25"/>
        <v>4.3132739883743794</v>
      </c>
      <c r="Q171">
        <f t="shared" si="26"/>
        <v>10.94886411502064</v>
      </c>
      <c r="R171">
        <f t="shared" si="27"/>
        <v>7.4078234253461011</v>
      </c>
      <c r="S171">
        <f t="shared" si="28"/>
        <v>3.3865940299345714</v>
      </c>
      <c r="T171">
        <f t="shared" si="29"/>
        <v>3.541040689674539</v>
      </c>
      <c r="U171">
        <f t="shared" si="30"/>
        <v>3.2489960967116907</v>
      </c>
      <c r="V171">
        <f t="shared" si="31"/>
        <v>18.019713010024994</v>
      </c>
      <c r="W171">
        <f t="shared" si="32"/>
        <v>100.00000000000003</v>
      </c>
    </row>
    <row r="172" spans="1:23" x14ac:dyDescent="0.3">
      <c r="A172" t="s">
        <v>33</v>
      </c>
      <c r="B172">
        <v>2017</v>
      </c>
      <c r="C172" t="s">
        <v>41</v>
      </c>
      <c r="D172">
        <f>'All_India_Index_Upto_April23 (1'!D172+'All_India_Index_Upto_April23 (1'!G172+'All_India_Index_Upto_April23 (1'!H172+'All_India_Index_Upto_April23 (1'!I172+'All_India_Index_Upto_April23 (1'!J172+'All_India_Index_Upto_April23 (1'!K172+'All_India_Index_Upto_April23 (1'!L172+'All_India_Index_Upto_April23 (1'!M172+'All_India_Index_Upto_April23 (1'!N172+'All_India_Index_Upto_April23 (1'!O172+'All_India_Index_Upto_April23 (1'!P172</f>
        <v>1497.3999999999999</v>
      </c>
      <c r="E172">
        <f>'All_India_Index_Upto_April23 (1'!E172+'All_India_Index_Upto_April23 (1'!F172</f>
        <v>272.60000000000002</v>
      </c>
      <c r="F172">
        <v>150.80000000000001</v>
      </c>
      <c r="G172">
        <f>'All_India_Index_Upto_April23 (1'!R172+'All_India_Index_Upto_April23 (1'!S172+'All_India_Index_Upto_April23 (1'!T172</f>
        <v>414.5</v>
      </c>
      <c r="H172">
        <f>'All_India_Index_Upto_April23 (1'!U172+'All_India_Index_Upto_April23 (1'!W172</f>
        <v>269</v>
      </c>
      <c r="I172">
        <v>131</v>
      </c>
      <c r="J172">
        <v>130.6</v>
      </c>
      <c r="K172">
        <v>118.3</v>
      </c>
      <c r="L172">
        <f>'All_India_Index_Upto_April23 (1'!Z172+'All_India_Index_Upto_April23 (1'!AA172+'All_India_Index_Upto_April23 (1'!AB172+'All_India_Index_Upto_April23 (1'!AC172+'All_India_Index_Upto_April23 (1'!AD172</f>
        <v>653.70000000000005</v>
      </c>
      <c r="M172">
        <f t="shared" si="22"/>
        <v>3637.9000000000005</v>
      </c>
      <c r="N172">
        <f t="shared" si="23"/>
        <v>41.161109431265281</v>
      </c>
      <c r="O172">
        <f t="shared" si="24"/>
        <v>7.4933340663569634</v>
      </c>
      <c r="P172">
        <f t="shared" si="25"/>
        <v>4.1452486324527884</v>
      </c>
      <c r="Q172">
        <f t="shared" si="26"/>
        <v>11.393936062013797</v>
      </c>
      <c r="R172">
        <f t="shared" si="27"/>
        <v>7.3943758761923082</v>
      </c>
      <c r="S172">
        <f t="shared" si="28"/>
        <v>3.6009785865471837</v>
      </c>
      <c r="T172">
        <f t="shared" si="29"/>
        <v>3.5899832320844434</v>
      </c>
      <c r="U172">
        <f t="shared" si="30"/>
        <v>3.2518760823552046</v>
      </c>
      <c r="V172">
        <f t="shared" si="31"/>
        <v>17.969158030732014</v>
      </c>
      <c r="W172">
        <f t="shared" si="32"/>
        <v>100.00000000000001</v>
      </c>
    </row>
    <row r="173" spans="1:23" x14ac:dyDescent="0.3">
      <c r="A173" t="s">
        <v>30</v>
      </c>
      <c r="B173">
        <v>2017</v>
      </c>
      <c r="C173" t="s">
        <v>42</v>
      </c>
      <c r="D173">
        <f>'All_India_Index_Upto_April23 (1'!D173+'All_India_Index_Upto_April23 (1'!G173+'All_India_Index_Upto_April23 (1'!H173+'All_India_Index_Upto_April23 (1'!I173+'All_India_Index_Upto_April23 (1'!J173+'All_India_Index_Upto_April23 (1'!K173+'All_India_Index_Upto_April23 (1'!L173+'All_India_Index_Upto_April23 (1'!M173+'All_India_Index_Upto_April23 (1'!N173+'All_India_Index_Upto_April23 (1'!O173+'All_India_Index_Upto_April23 (1'!P173</f>
        <v>1518</v>
      </c>
      <c r="E173">
        <f>'All_India_Index_Upto_April23 (1'!E173+'All_India_Index_Upto_April23 (1'!F173</f>
        <v>272.89999999999998</v>
      </c>
      <c r="F173">
        <v>150.5</v>
      </c>
      <c r="G173">
        <f>'All_India_Index_Upto_April23 (1'!R173+'All_India_Index_Upto_April23 (1'!S173+'All_India_Index_Upto_April23 (1'!T173</f>
        <v>433.99999999999994</v>
      </c>
      <c r="H173">
        <f>'All_India_Index_Upto_April23 (1'!U173+'All_India_Index_Upto_April23 (1'!W173</f>
        <v>138.4</v>
      </c>
      <c r="I173">
        <v>138.1</v>
      </c>
      <c r="J173">
        <v>134.19999999999999</v>
      </c>
      <c r="K173">
        <v>121</v>
      </c>
      <c r="L173">
        <f>'All_India_Index_Upto_April23 (1'!Z173+'All_India_Index_Upto_April23 (1'!AA173+'All_India_Index_Upto_April23 (1'!AB173+'All_India_Index_Upto_April23 (1'!AC173+'All_India_Index_Upto_April23 (1'!AD173</f>
        <v>669.5</v>
      </c>
      <c r="M173">
        <f t="shared" si="22"/>
        <v>3576.6</v>
      </c>
      <c r="N173">
        <f t="shared" si="23"/>
        <v>42.442543197450092</v>
      </c>
      <c r="O173">
        <f t="shared" si="24"/>
        <v>7.6301515405692548</v>
      </c>
      <c r="P173">
        <f t="shared" si="25"/>
        <v>4.2079069507353353</v>
      </c>
      <c r="Q173">
        <f t="shared" si="26"/>
        <v>12.134429346306547</v>
      </c>
      <c r="R173">
        <f t="shared" si="27"/>
        <v>3.8695968237991387</v>
      </c>
      <c r="S173">
        <f t="shared" si="28"/>
        <v>3.8612089694122909</v>
      </c>
      <c r="T173">
        <f t="shared" si="29"/>
        <v>3.7521668623832687</v>
      </c>
      <c r="U173">
        <f t="shared" si="30"/>
        <v>3.3831012693619642</v>
      </c>
      <c r="V173">
        <f t="shared" si="31"/>
        <v>18.718895039982105</v>
      </c>
      <c r="W173">
        <f t="shared" si="32"/>
        <v>99.999999999999986</v>
      </c>
    </row>
    <row r="174" spans="1:23" x14ac:dyDescent="0.3">
      <c r="A174" t="s">
        <v>32</v>
      </c>
      <c r="B174">
        <v>2017</v>
      </c>
      <c r="C174" t="s">
        <v>42</v>
      </c>
      <c r="D174">
        <f>'All_India_Index_Upto_April23 (1'!D174+'All_India_Index_Upto_April23 (1'!G174+'All_India_Index_Upto_April23 (1'!H174+'All_India_Index_Upto_April23 (1'!I174+'All_India_Index_Upto_April23 (1'!J174+'All_India_Index_Upto_April23 (1'!K174+'All_India_Index_Upto_April23 (1'!L174+'All_India_Index_Upto_April23 (1'!M174+'All_India_Index_Upto_April23 (1'!N174+'All_India_Index_Upto_April23 (1'!O174+'All_India_Index_Upto_April23 (1'!P174</f>
        <v>1491.5</v>
      </c>
      <c r="E174">
        <f>'All_India_Index_Upto_April23 (1'!E174+'All_India_Index_Upto_April23 (1'!F174</f>
        <v>274.20000000000005</v>
      </c>
      <c r="F174">
        <v>154.6</v>
      </c>
      <c r="G174">
        <f>'All_India_Index_Upto_April23 (1'!R174+'All_India_Index_Upto_April23 (1'!S174+'All_India_Index_Upto_April23 (1'!T174</f>
        <v>391.5</v>
      </c>
      <c r="H174">
        <f>'All_India_Index_Upto_April23 (1'!U174+'All_India_Index_Upto_April23 (1'!W174</f>
        <v>265.60000000000002</v>
      </c>
      <c r="I174">
        <v>122.6</v>
      </c>
      <c r="J174">
        <v>126.6</v>
      </c>
      <c r="K174">
        <v>115</v>
      </c>
      <c r="L174">
        <f>'All_India_Index_Upto_April23 (1'!Z174+'All_India_Index_Upto_April23 (1'!AA174+'All_India_Index_Upto_April23 (1'!AB174+'All_India_Index_Upto_April23 (1'!AC174+'All_India_Index_Upto_April23 (1'!AD174</f>
        <v>643.70000000000005</v>
      </c>
      <c r="M174">
        <f t="shared" si="22"/>
        <v>3585.3</v>
      </c>
      <c r="N174">
        <f t="shared" si="23"/>
        <v>41.60042395336513</v>
      </c>
      <c r="O174">
        <f t="shared" si="24"/>
        <v>7.6478955735921685</v>
      </c>
      <c r="P174">
        <f t="shared" si="25"/>
        <v>4.3120519900705663</v>
      </c>
      <c r="Q174">
        <f t="shared" si="26"/>
        <v>10.919588318969122</v>
      </c>
      <c r="R174">
        <f t="shared" si="27"/>
        <v>7.408027222268708</v>
      </c>
      <c r="S174">
        <f t="shared" si="28"/>
        <v>3.4195185897972271</v>
      </c>
      <c r="T174">
        <f t="shared" si="29"/>
        <v>3.5310852648313946</v>
      </c>
      <c r="U174">
        <f t="shared" si="30"/>
        <v>3.2075419072323093</v>
      </c>
      <c r="V174">
        <f t="shared" si="31"/>
        <v>17.953867179873374</v>
      </c>
      <c r="W174">
        <f t="shared" si="32"/>
        <v>99.999999999999986</v>
      </c>
    </row>
    <row r="175" spans="1:23" x14ac:dyDescent="0.3">
      <c r="A175" t="s">
        <v>33</v>
      </c>
      <c r="B175">
        <v>2017</v>
      </c>
      <c r="C175" t="s">
        <v>42</v>
      </c>
      <c r="D175">
        <f>'All_India_Index_Upto_April23 (1'!D175+'All_India_Index_Upto_April23 (1'!G175+'All_India_Index_Upto_April23 (1'!H175+'All_India_Index_Upto_April23 (1'!I175+'All_India_Index_Upto_April23 (1'!J175+'All_India_Index_Upto_April23 (1'!K175+'All_India_Index_Upto_April23 (1'!L175+'All_India_Index_Upto_April23 (1'!M175+'All_India_Index_Upto_April23 (1'!N175+'All_India_Index_Upto_April23 (1'!O175+'All_India_Index_Upto_April23 (1'!P175</f>
        <v>1506.2999999999997</v>
      </c>
      <c r="E175">
        <f>'All_India_Index_Upto_April23 (1'!E175+'All_India_Index_Upto_April23 (1'!F175</f>
        <v>273.39999999999998</v>
      </c>
      <c r="F175">
        <v>151.6</v>
      </c>
      <c r="G175">
        <f>'All_India_Index_Upto_April23 (1'!R175+'All_India_Index_Upto_April23 (1'!S175+'All_India_Index_Upto_April23 (1'!T175</f>
        <v>416.90000000000003</v>
      </c>
      <c r="H175">
        <f>'All_India_Index_Upto_April23 (1'!U175+'All_India_Index_Upto_April23 (1'!W175</f>
        <v>270.89999999999998</v>
      </c>
      <c r="I175">
        <v>132.19999999999999</v>
      </c>
      <c r="J175">
        <v>131.30000000000001</v>
      </c>
      <c r="K175">
        <v>117.8</v>
      </c>
      <c r="L175">
        <f>'All_India_Index_Upto_April23 (1'!Z175+'All_India_Index_Upto_April23 (1'!AA175+'All_India_Index_Upto_April23 (1'!AB175+'All_India_Index_Upto_April23 (1'!AC175+'All_India_Index_Upto_April23 (1'!AD175</f>
        <v>656.30000000000007</v>
      </c>
      <c r="M175">
        <f t="shared" si="22"/>
        <v>3656.7000000000003</v>
      </c>
      <c r="N175">
        <f t="shared" si="23"/>
        <v>41.192878825170226</v>
      </c>
      <c r="O175">
        <f t="shared" si="24"/>
        <v>7.4766866300216037</v>
      </c>
      <c r="P175">
        <f t="shared" si="25"/>
        <v>4.1458145322285116</v>
      </c>
      <c r="Q175">
        <f t="shared" si="26"/>
        <v>11.400989963628408</v>
      </c>
      <c r="R175">
        <f t="shared" si="27"/>
        <v>7.4083189761260142</v>
      </c>
      <c r="S175">
        <f t="shared" si="28"/>
        <v>3.6152815379987415</v>
      </c>
      <c r="T175">
        <f t="shared" si="29"/>
        <v>3.5906691825963302</v>
      </c>
      <c r="U175">
        <f t="shared" si="30"/>
        <v>3.2214838515601496</v>
      </c>
      <c r="V175">
        <f t="shared" si="31"/>
        <v>17.947876500670006</v>
      </c>
      <c r="W175">
        <f t="shared" si="32"/>
        <v>99.999999999999986</v>
      </c>
    </row>
    <row r="176" spans="1:23" x14ac:dyDescent="0.3">
      <c r="A176" t="s">
        <v>30</v>
      </c>
      <c r="B176">
        <v>2017</v>
      </c>
      <c r="C176" t="s">
        <v>44</v>
      </c>
      <c r="D176">
        <f>'All_India_Index_Upto_April23 (1'!D176+'All_India_Index_Upto_April23 (1'!G176+'All_India_Index_Upto_April23 (1'!H176+'All_India_Index_Upto_April23 (1'!I176+'All_India_Index_Upto_April23 (1'!J176+'All_India_Index_Upto_April23 (1'!K176+'All_India_Index_Upto_April23 (1'!L176+'All_India_Index_Upto_April23 (1'!M176+'All_India_Index_Upto_April23 (1'!N176+'All_India_Index_Upto_April23 (1'!O176+'All_India_Index_Upto_April23 (1'!P176</f>
        <v>1534.7000000000003</v>
      </c>
      <c r="E176">
        <f>'All_India_Index_Upto_April23 (1'!E176+'All_India_Index_Upto_April23 (1'!F176</f>
        <v>283</v>
      </c>
      <c r="F176">
        <v>152.1</v>
      </c>
      <c r="G176">
        <f>'All_India_Index_Upto_April23 (1'!R176+'All_India_Index_Upto_April23 (1'!S176+'All_India_Index_Upto_April23 (1'!T176</f>
        <v>437</v>
      </c>
      <c r="H176">
        <f>'All_India_Index_Upto_April23 (1'!U176+'All_India_Index_Upto_April23 (1'!W176</f>
        <v>139.4</v>
      </c>
      <c r="I176">
        <v>141.1</v>
      </c>
      <c r="J176">
        <v>135.80000000000001</v>
      </c>
      <c r="K176">
        <v>121.6</v>
      </c>
      <c r="L176">
        <f>'All_India_Index_Upto_April23 (1'!Z176+'All_India_Index_Upto_April23 (1'!AA176+'All_India_Index_Upto_April23 (1'!AB176+'All_India_Index_Upto_April23 (1'!AC176+'All_India_Index_Upto_April23 (1'!AD176</f>
        <v>675</v>
      </c>
      <c r="M176">
        <f t="shared" si="22"/>
        <v>3619.7000000000003</v>
      </c>
      <c r="N176">
        <f t="shared" si="23"/>
        <v>42.39854131557864</v>
      </c>
      <c r="O176">
        <f t="shared" si="24"/>
        <v>7.8183274857032341</v>
      </c>
      <c r="P176">
        <f t="shared" si="25"/>
        <v>4.2020056910793704</v>
      </c>
      <c r="Q176">
        <f t="shared" si="26"/>
        <v>12.072823714672486</v>
      </c>
      <c r="R176">
        <f t="shared" si="27"/>
        <v>3.8511478851838548</v>
      </c>
      <c r="S176">
        <f t="shared" si="28"/>
        <v>3.8981131032958527</v>
      </c>
      <c r="T176">
        <f t="shared" si="29"/>
        <v>3.7516921291819765</v>
      </c>
      <c r="U176">
        <f t="shared" si="30"/>
        <v>3.3593944249523435</v>
      </c>
      <c r="V176">
        <f t="shared" si="31"/>
        <v>18.647954250352239</v>
      </c>
      <c r="W176">
        <f t="shared" si="32"/>
        <v>100</v>
      </c>
    </row>
    <row r="177" spans="1:23" x14ac:dyDescent="0.3">
      <c r="A177" t="s">
        <v>32</v>
      </c>
      <c r="B177">
        <v>2017</v>
      </c>
      <c r="C177" t="s">
        <v>44</v>
      </c>
      <c r="D177">
        <f>'All_India_Index_Upto_April23 (1'!D177+'All_India_Index_Upto_April23 (1'!G177+'All_India_Index_Upto_April23 (1'!H177+'All_India_Index_Upto_April23 (1'!I177+'All_India_Index_Upto_April23 (1'!J177+'All_India_Index_Upto_April23 (1'!K177+'All_India_Index_Upto_April23 (1'!L177+'All_India_Index_Upto_April23 (1'!M177+'All_India_Index_Upto_April23 (1'!N177+'All_India_Index_Upto_April23 (1'!O177+'All_India_Index_Upto_April23 (1'!P177</f>
        <v>1507.9</v>
      </c>
      <c r="E177">
        <f>'All_India_Index_Upto_April23 (1'!E177+'All_India_Index_Upto_April23 (1'!F177</f>
        <v>288.79999999999995</v>
      </c>
      <c r="F177">
        <v>156.19999999999999</v>
      </c>
      <c r="G177">
        <f>'All_India_Index_Upto_April23 (1'!R177+'All_India_Index_Upto_April23 (1'!S177+'All_India_Index_Upto_April23 (1'!T177</f>
        <v>393.9</v>
      </c>
      <c r="H177">
        <f>'All_India_Index_Upto_April23 (1'!U177+'All_India_Index_Upto_April23 (1'!W177</f>
        <v>267.39999999999998</v>
      </c>
      <c r="I177">
        <v>125.7</v>
      </c>
      <c r="J177">
        <v>127.4</v>
      </c>
      <c r="K177">
        <v>115.3</v>
      </c>
      <c r="L177">
        <f>'All_India_Index_Upto_April23 (1'!Z177+'All_India_Index_Upto_April23 (1'!AA177+'All_India_Index_Upto_April23 (1'!AB177+'All_India_Index_Upto_April23 (1'!AC177+'All_India_Index_Upto_April23 (1'!AD177</f>
        <v>646.29999999999995</v>
      </c>
      <c r="M177">
        <f t="shared" si="22"/>
        <v>3628.9000000000005</v>
      </c>
      <c r="N177">
        <f t="shared" si="23"/>
        <v>41.552536581333186</v>
      </c>
      <c r="O177">
        <f t="shared" si="24"/>
        <v>7.9583344815233241</v>
      </c>
      <c r="P177">
        <f t="shared" si="25"/>
        <v>4.3043346468626851</v>
      </c>
      <c r="Q177">
        <f t="shared" si="26"/>
        <v>10.85452892060955</v>
      </c>
      <c r="R177">
        <f t="shared" si="27"/>
        <v>7.3686241009672333</v>
      </c>
      <c r="S177">
        <f t="shared" si="28"/>
        <v>3.4638595717710592</v>
      </c>
      <c r="T177">
        <f t="shared" si="29"/>
        <v>3.5107057234974781</v>
      </c>
      <c r="U177">
        <f t="shared" si="30"/>
        <v>3.1772713494447347</v>
      </c>
      <c r="V177">
        <f t="shared" si="31"/>
        <v>17.80980462399074</v>
      </c>
      <c r="W177">
        <f t="shared" si="32"/>
        <v>100</v>
      </c>
    </row>
    <row r="178" spans="1:23" x14ac:dyDescent="0.3">
      <c r="A178" t="s">
        <v>33</v>
      </c>
      <c r="B178">
        <v>2017</v>
      </c>
      <c r="C178" t="s">
        <v>44</v>
      </c>
      <c r="D178">
        <f>'All_India_Index_Upto_April23 (1'!D178+'All_India_Index_Upto_April23 (1'!G178+'All_India_Index_Upto_April23 (1'!H178+'All_India_Index_Upto_April23 (1'!I178+'All_India_Index_Upto_April23 (1'!J178+'All_India_Index_Upto_April23 (1'!K178+'All_India_Index_Upto_April23 (1'!L178+'All_India_Index_Upto_April23 (1'!M178+'All_India_Index_Upto_April23 (1'!N178+'All_India_Index_Upto_April23 (1'!O178+'All_India_Index_Upto_April23 (1'!P178</f>
        <v>1522.9</v>
      </c>
      <c r="E178">
        <f>'All_India_Index_Upto_April23 (1'!E178+'All_India_Index_Upto_April23 (1'!F178</f>
        <v>285.3</v>
      </c>
      <c r="F178">
        <v>153.19999999999999</v>
      </c>
      <c r="G178">
        <f>'All_India_Index_Upto_April23 (1'!R178+'All_India_Index_Upto_April23 (1'!S178+'All_India_Index_Upto_April23 (1'!T178</f>
        <v>419.6</v>
      </c>
      <c r="H178">
        <f>'All_India_Index_Upto_April23 (1'!U178+'All_India_Index_Upto_April23 (1'!W178</f>
        <v>273</v>
      </c>
      <c r="I178">
        <v>135.30000000000001</v>
      </c>
      <c r="J178">
        <v>132.6</v>
      </c>
      <c r="K178">
        <v>118.3</v>
      </c>
      <c r="L178">
        <f>'All_India_Index_Upto_April23 (1'!Z178+'All_India_Index_Upto_April23 (1'!AA178+'All_India_Index_Upto_April23 (1'!AB178+'All_India_Index_Upto_April23 (1'!AC178+'All_India_Index_Upto_April23 (1'!AD178</f>
        <v>660.30000000000007</v>
      </c>
      <c r="M178">
        <f t="shared" si="22"/>
        <v>3700.5000000000005</v>
      </c>
      <c r="N178">
        <f t="shared" si="23"/>
        <v>41.153898121875422</v>
      </c>
      <c r="O178">
        <f t="shared" si="24"/>
        <v>7.7097689501418722</v>
      </c>
      <c r="P178">
        <f t="shared" si="25"/>
        <v>4.1399810836373447</v>
      </c>
      <c r="Q178">
        <f t="shared" si="26"/>
        <v>11.33900824212944</v>
      </c>
      <c r="R178">
        <f t="shared" si="27"/>
        <v>7.3773814349412232</v>
      </c>
      <c r="S178">
        <f t="shared" si="28"/>
        <v>3.6562626672071339</v>
      </c>
      <c r="T178">
        <f t="shared" si="29"/>
        <v>3.583299554114308</v>
      </c>
      <c r="U178">
        <f t="shared" si="30"/>
        <v>3.1968652884745299</v>
      </c>
      <c r="V178">
        <f t="shared" si="31"/>
        <v>17.843534657478717</v>
      </c>
      <c r="W178">
        <f t="shared" si="32"/>
        <v>99.999999999999986</v>
      </c>
    </row>
    <row r="179" spans="1:23" x14ac:dyDescent="0.3">
      <c r="A179" t="s">
        <v>30</v>
      </c>
      <c r="B179">
        <v>2017</v>
      </c>
      <c r="C179" t="s">
        <v>45</v>
      </c>
      <c r="D179">
        <f>'All_India_Index_Upto_April23 (1'!D179+'All_India_Index_Upto_April23 (1'!G179+'All_India_Index_Upto_April23 (1'!H179+'All_India_Index_Upto_April23 (1'!I179+'All_India_Index_Upto_April23 (1'!J179+'All_India_Index_Upto_April23 (1'!K179+'All_India_Index_Upto_April23 (1'!L179+'All_India_Index_Upto_April23 (1'!M179+'All_India_Index_Upto_April23 (1'!N179+'All_India_Index_Upto_April23 (1'!O179+'All_India_Index_Upto_April23 (1'!P179</f>
        <v>1525.1</v>
      </c>
      <c r="E179">
        <f>'All_India_Index_Upto_April23 (1'!E179+'All_India_Index_Upto_April23 (1'!F179</f>
        <v>288.5</v>
      </c>
      <c r="F179">
        <v>153.19999999999999</v>
      </c>
      <c r="G179">
        <f>'All_India_Index_Upto_April23 (1'!R179+'All_India_Index_Upto_April23 (1'!S179+'All_India_Index_Upto_April23 (1'!T179</f>
        <v>437.09999999999997</v>
      </c>
      <c r="H179">
        <f>'All_India_Index_Upto_April23 (1'!U179+'All_India_Index_Upto_April23 (1'!W179</f>
        <v>139.5</v>
      </c>
      <c r="I179">
        <v>142.6</v>
      </c>
      <c r="J179">
        <v>136.1</v>
      </c>
      <c r="K179">
        <v>122</v>
      </c>
      <c r="L179">
        <f>'All_India_Index_Upto_April23 (1'!Z179+'All_India_Index_Upto_April23 (1'!AA179+'All_India_Index_Upto_April23 (1'!AB179+'All_India_Index_Upto_April23 (1'!AC179+'All_India_Index_Upto_April23 (1'!AD179</f>
        <v>674</v>
      </c>
      <c r="M179">
        <f t="shared" si="22"/>
        <v>3618.1</v>
      </c>
      <c r="N179">
        <f t="shared" si="23"/>
        <v>42.15195821011028</v>
      </c>
      <c r="O179">
        <f t="shared" si="24"/>
        <v>7.9737984024764383</v>
      </c>
      <c r="P179">
        <f t="shared" si="25"/>
        <v>4.2342666040186838</v>
      </c>
      <c r="Q179">
        <f t="shared" si="26"/>
        <v>12.080926453110747</v>
      </c>
      <c r="R179">
        <f t="shared" si="27"/>
        <v>3.8556148254608775</v>
      </c>
      <c r="S179">
        <f t="shared" si="28"/>
        <v>3.9412951549155633</v>
      </c>
      <c r="T179">
        <f t="shared" si="29"/>
        <v>3.7616428512202535</v>
      </c>
      <c r="U179">
        <f t="shared" si="30"/>
        <v>3.3719355462811977</v>
      </c>
      <c r="V179">
        <f t="shared" si="31"/>
        <v>18.62856195240596</v>
      </c>
      <c r="W179">
        <f t="shared" si="32"/>
        <v>100</v>
      </c>
    </row>
    <row r="180" spans="1:23" x14ac:dyDescent="0.3">
      <c r="A180" t="s">
        <v>32</v>
      </c>
      <c r="B180">
        <v>2017</v>
      </c>
      <c r="C180" t="s">
        <v>45</v>
      </c>
      <c r="D180">
        <f>'All_India_Index_Upto_April23 (1'!D180+'All_India_Index_Upto_April23 (1'!G180+'All_India_Index_Upto_April23 (1'!H180+'All_India_Index_Upto_April23 (1'!I180+'All_India_Index_Upto_April23 (1'!J180+'All_India_Index_Upto_April23 (1'!K180+'All_India_Index_Upto_April23 (1'!L180+'All_India_Index_Upto_April23 (1'!M180+'All_India_Index_Upto_April23 (1'!N180+'All_India_Index_Upto_April23 (1'!O180+'All_India_Index_Upto_April23 (1'!P180</f>
        <v>1479</v>
      </c>
      <c r="E180">
        <f>'All_India_Index_Upto_April23 (1'!E180+'All_India_Index_Upto_April23 (1'!F180</f>
        <v>288.5</v>
      </c>
      <c r="F180">
        <v>157</v>
      </c>
      <c r="G180">
        <f>'All_India_Index_Upto_April23 (1'!R180+'All_India_Index_Upto_April23 (1'!S180+'All_India_Index_Upto_April23 (1'!T180</f>
        <v>395.2</v>
      </c>
      <c r="H180">
        <f>'All_India_Index_Upto_April23 (1'!U180+'All_India_Index_Upto_April23 (1'!W180</f>
        <v>268.39999999999998</v>
      </c>
      <c r="I180">
        <v>126.8</v>
      </c>
      <c r="J180">
        <v>128.19999999999999</v>
      </c>
      <c r="K180">
        <v>115.3</v>
      </c>
      <c r="L180">
        <f>'All_India_Index_Upto_April23 (1'!Z180+'All_India_Index_Upto_April23 (1'!AA180+'All_India_Index_Upto_April23 (1'!AB180+'All_India_Index_Upto_April23 (1'!AC180+'All_India_Index_Upto_April23 (1'!AD180</f>
        <v>646.1</v>
      </c>
      <c r="M180">
        <f t="shared" si="22"/>
        <v>3604.5</v>
      </c>
      <c r="N180">
        <f t="shared" si="23"/>
        <v>41.032043279234294</v>
      </c>
      <c r="O180">
        <f t="shared" si="24"/>
        <v>8.0038840338465818</v>
      </c>
      <c r="P180">
        <f t="shared" si="25"/>
        <v>4.3556665279511719</v>
      </c>
      <c r="Q180">
        <f t="shared" si="26"/>
        <v>10.964072686919128</v>
      </c>
      <c r="R180">
        <f t="shared" si="27"/>
        <v>7.4462477458732135</v>
      </c>
      <c r="S180">
        <f t="shared" si="28"/>
        <v>3.5178249410459146</v>
      </c>
      <c r="T180">
        <f t="shared" si="29"/>
        <v>3.5566652795117211</v>
      </c>
      <c r="U180">
        <f t="shared" si="30"/>
        <v>3.1987793036482173</v>
      </c>
      <c r="V180">
        <f t="shared" si="31"/>
        <v>17.924816201969758</v>
      </c>
      <c r="W180">
        <f t="shared" si="32"/>
        <v>100</v>
      </c>
    </row>
    <row r="181" spans="1:23" x14ac:dyDescent="0.3">
      <c r="A181" t="s">
        <v>33</v>
      </c>
      <c r="B181">
        <v>2017</v>
      </c>
      <c r="C181" t="s">
        <v>45</v>
      </c>
      <c r="D181">
        <f>'All_India_Index_Upto_April23 (1'!D181+'All_India_Index_Upto_April23 (1'!G181+'All_India_Index_Upto_April23 (1'!H181+'All_India_Index_Upto_April23 (1'!I181+'All_India_Index_Upto_April23 (1'!J181+'All_India_Index_Upto_April23 (1'!K181+'All_India_Index_Upto_April23 (1'!L181+'All_India_Index_Upto_April23 (1'!M181+'All_India_Index_Upto_April23 (1'!N181+'All_India_Index_Upto_April23 (1'!O181+'All_India_Index_Upto_April23 (1'!P181</f>
        <v>1506.5</v>
      </c>
      <c r="E181">
        <f>'All_India_Index_Upto_April23 (1'!E181+'All_India_Index_Upto_April23 (1'!F181</f>
        <v>288.5</v>
      </c>
      <c r="F181">
        <v>154.19999999999999</v>
      </c>
      <c r="G181">
        <f>'All_India_Index_Upto_April23 (1'!R181+'All_India_Index_Upto_April23 (1'!S181+'All_India_Index_Upto_April23 (1'!T181</f>
        <v>420.2</v>
      </c>
      <c r="H181">
        <f>'All_India_Index_Upto_April23 (1'!U181+'All_India_Index_Upto_April23 (1'!W181</f>
        <v>273.79999999999995</v>
      </c>
      <c r="I181">
        <v>136.6</v>
      </c>
      <c r="J181">
        <v>133.1</v>
      </c>
      <c r="K181">
        <v>118.5</v>
      </c>
      <c r="L181">
        <f>'All_India_Index_Upto_April23 (1'!Z181+'All_India_Index_Upto_April23 (1'!AA181+'All_India_Index_Upto_April23 (1'!AB181+'All_India_Index_Upto_April23 (1'!AC181+'All_India_Index_Upto_April23 (1'!AD181</f>
        <v>659.8</v>
      </c>
      <c r="M181">
        <f t="shared" si="22"/>
        <v>3691.2</v>
      </c>
      <c r="N181">
        <f t="shared" si="23"/>
        <v>40.813285652362381</v>
      </c>
      <c r="O181">
        <f t="shared" si="24"/>
        <v>7.8158864325964457</v>
      </c>
      <c r="P181">
        <f t="shared" si="25"/>
        <v>4.1775032509752927</v>
      </c>
      <c r="Q181">
        <f t="shared" si="26"/>
        <v>11.383831816211529</v>
      </c>
      <c r="R181">
        <f t="shared" si="27"/>
        <v>7.4176419592544427</v>
      </c>
      <c r="S181">
        <f t="shared" si="28"/>
        <v>3.700693541395752</v>
      </c>
      <c r="T181">
        <f t="shared" si="29"/>
        <v>3.6058734286952756</v>
      </c>
      <c r="U181">
        <f t="shared" si="30"/>
        <v>3.2103381014304295</v>
      </c>
      <c r="V181">
        <f t="shared" si="31"/>
        <v>17.874945817078455</v>
      </c>
      <c r="W181">
        <f t="shared" si="32"/>
        <v>99.999999999999986</v>
      </c>
    </row>
    <row r="182" spans="1:23" x14ac:dyDescent="0.3">
      <c r="A182" t="s">
        <v>30</v>
      </c>
      <c r="B182">
        <v>2018</v>
      </c>
      <c r="C182" t="s">
        <v>31</v>
      </c>
      <c r="D182">
        <f>'All_India_Index_Upto_April23 (1'!D182+'All_India_Index_Upto_April23 (1'!G182+'All_India_Index_Upto_April23 (1'!H182+'All_India_Index_Upto_April23 (1'!I182+'All_India_Index_Upto_April23 (1'!J182+'All_India_Index_Upto_April23 (1'!K182+'All_India_Index_Upto_April23 (1'!L182+'All_India_Index_Upto_April23 (1'!M182+'All_India_Index_Upto_April23 (1'!N182+'All_India_Index_Upto_April23 (1'!O182+'All_India_Index_Upto_April23 (1'!P182</f>
        <v>1512.5000000000002</v>
      </c>
      <c r="E182">
        <f>'All_India_Index_Upto_April23 (1'!E182+'All_India_Index_Upto_April23 (1'!F182</f>
        <v>288.20000000000005</v>
      </c>
      <c r="F182">
        <v>153.6</v>
      </c>
      <c r="G182">
        <f>'All_India_Index_Upto_April23 (1'!R182+'All_India_Index_Upto_April23 (1'!S182+'All_India_Index_Upto_April23 (1'!T182</f>
        <v>438.1</v>
      </c>
      <c r="H182">
        <f>'All_India_Index_Upto_April23 (1'!U182+'All_India_Index_Upto_April23 (1'!W182</f>
        <v>139.80000000000001</v>
      </c>
      <c r="I182">
        <v>142.30000000000001</v>
      </c>
      <c r="J182">
        <v>136</v>
      </c>
      <c r="K182">
        <v>122.7</v>
      </c>
      <c r="L182">
        <f>'All_India_Index_Upto_April23 (1'!Z182+'All_India_Index_Upto_April23 (1'!AA182+'All_India_Index_Upto_April23 (1'!AB182+'All_India_Index_Upto_April23 (1'!AC182+'All_India_Index_Upto_April23 (1'!AD182</f>
        <v>676.09999999999991</v>
      </c>
      <c r="M182">
        <f t="shared" si="22"/>
        <v>3609.3</v>
      </c>
      <c r="N182">
        <f t="shared" si="23"/>
        <v>41.905632671155075</v>
      </c>
      <c r="O182">
        <f t="shared" si="24"/>
        <v>7.9849278253400948</v>
      </c>
      <c r="P182">
        <f t="shared" si="25"/>
        <v>4.2556728451500287</v>
      </c>
      <c r="Q182">
        <f t="shared" si="26"/>
        <v>12.138087717840024</v>
      </c>
      <c r="R182">
        <f t="shared" si="27"/>
        <v>3.873327237968581</v>
      </c>
      <c r="S182">
        <f t="shared" si="28"/>
        <v>3.9425927465159454</v>
      </c>
      <c r="T182">
        <f t="shared" si="29"/>
        <v>3.7680436649765876</v>
      </c>
      <c r="U182">
        <f t="shared" si="30"/>
        <v>3.3995511595046128</v>
      </c>
      <c r="V182">
        <f t="shared" si="31"/>
        <v>18.732164131549052</v>
      </c>
      <c r="W182">
        <f t="shared" si="32"/>
        <v>100</v>
      </c>
    </row>
    <row r="183" spans="1:23" x14ac:dyDescent="0.3">
      <c r="A183" t="s">
        <v>32</v>
      </c>
      <c r="B183">
        <v>2018</v>
      </c>
      <c r="C183" t="s">
        <v>31</v>
      </c>
      <c r="D183">
        <f>'All_India_Index_Upto_April23 (1'!D183+'All_India_Index_Upto_April23 (1'!G183+'All_India_Index_Upto_April23 (1'!H183+'All_India_Index_Upto_April23 (1'!I183+'All_India_Index_Upto_April23 (1'!J183+'All_India_Index_Upto_April23 (1'!K183+'All_India_Index_Upto_April23 (1'!L183+'All_India_Index_Upto_April23 (1'!M183+'All_India_Index_Upto_April23 (1'!N183+'All_India_Index_Upto_April23 (1'!O183+'All_India_Index_Upto_April23 (1'!P183</f>
        <v>1461</v>
      </c>
      <c r="E183">
        <f>'All_India_Index_Upto_April23 (1'!E183+'All_India_Index_Upto_April23 (1'!F183</f>
        <v>287.29999999999995</v>
      </c>
      <c r="F183">
        <v>157.69999999999999</v>
      </c>
      <c r="G183">
        <f>'All_India_Index_Upto_April23 (1'!R183+'All_India_Index_Upto_April23 (1'!S183+'All_India_Index_Upto_April23 (1'!T183</f>
        <v>396.29999999999995</v>
      </c>
      <c r="H183">
        <f>'All_India_Index_Upto_April23 (1'!U183+'All_India_Index_Upto_April23 (1'!W183</f>
        <v>269.89999999999998</v>
      </c>
      <c r="I183">
        <v>127.3</v>
      </c>
      <c r="J183">
        <v>129</v>
      </c>
      <c r="K183">
        <v>116.3</v>
      </c>
      <c r="L183">
        <f>'All_India_Index_Upto_April23 (1'!Z183+'All_India_Index_Upto_April23 (1'!AA183+'All_India_Index_Upto_April23 (1'!AB183+'All_India_Index_Upto_April23 (1'!AC183+'All_India_Index_Upto_April23 (1'!AD183</f>
        <v>648.70000000000005</v>
      </c>
      <c r="M183">
        <f t="shared" si="22"/>
        <v>3593.5000000000009</v>
      </c>
      <c r="N183">
        <f t="shared" si="23"/>
        <v>40.656741338527887</v>
      </c>
      <c r="O183">
        <f t="shared" si="24"/>
        <v>7.9949909558925807</v>
      </c>
      <c r="P183">
        <f t="shared" si="25"/>
        <v>4.3884791985529414</v>
      </c>
      <c r="Q183">
        <f t="shared" si="26"/>
        <v>11.028245443161259</v>
      </c>
      <c r="R183">
        <f t="shared" si="27"/>
        <v>7.5107833588423514</v>
      </c>
      <c r="S183">
        <f t="shared" si="28"/>
        <v>3.5425073048559885</v>
      </c>
      <c r="T183">
        <f t="shared" si="29"/>
        <v>3.5898149436482529</v>
      </c>
      <c r="U183">
        <f t="shared" si="30"/>
        <v>3.2363990538472236</v>
      </c>
      <c r="V183">
        <f t="shared" si="31"/>
        <v>18.052038402671485</v>
      </c>
      <c r="W183">
        <f t="shared" si="32"/>
        <v>99.999999999999957</v>
      </c>
    </row>
    <row r="184" spans="1:23" x14ac:dyDescent="0.3">
      <c r="A184" t="s">
        <v>33</v>
      </c>
      <c r="B184">
        <v>2018</v>
      </c>
      <c r="C184" t="s">
        <v>31</v>
      </c>
      <c r="D184">
        <f>'All_India_Index_Upto_April23 (1'!D184+'All_India_Index_Upto_April23 (1'!G184+'All_India_Index_Upto_April23 (1'!H184+'All_India_Index_Upto_April23 (1'!I184+'All_India_Index_Upto_April23 (1'!J184+'All_India_Index_Upto_April23 (1'!K184+'All_India_Index_Upto_April23 (1'!L184+'All_India_Index_Upto_April23 (1'!M184+'All_India_Index_Upto_April23 (1'!N184+'All_India_Index_Upto_April23 (1'!O184+'All_India_Index_Upto_April23 (1'!P184</f>
        <v>1492</v>
      </c>
      <c r="E184">
        <f>'All_India_Index_Upto_April23 (1'!E184+'All_India_Index_Upto_April23 (1'!F184</f>
        <v>287.89999999999998</v>
      </c>
      <c r="F184">
        <v>154.69999999999999</v>
      </c>
      <c r="G184">
        <f>'All_India_Index_Upto_April23 (1'!R184+'All_India_Index_Upto_April23 (1'!S184+'All_India_Index_Upto_April23 (1'!T184</f>
        <v>421.3</v>
      </c>
      <c r="H184">
        <f>'All_India_Index_Upto_April23 (1'!U184+'All_India_Index_Upto_April23 (1'!W184</f>
        <v>275.3</v>
      </c>
      <c r="I184">
        <v>136.6</v>
      </c>
      <c r="J184">
        <v>133.30000000000001</v>
      </c>
      <c r="K184">
        <v>119.3</v>
      </c>
      <c r="L184">
        <f>'All_India_Index_Upto_April23 (1'!Z184+'All_India_Index_Upto_April23 (1'!AA184+'All_India_Index_Upto_April23 (1'!AB184+'All_India_Index_Upto_April23 (1'!AC184+'All_India_Index_Upto_April23 (1'!AD184</f>
        <v>662</v>
      </c>
      <c r="M184">
        <f t="shared" si="22"/>
        <v>3682.4000000000005</v>
      </c>
      <c r="N184">
        <f t="shared" si="23"/>
        <v>40.517054095155324</v>
      </c>
      <c r="O184">
        <f t="shared" si="24"/>
        <v>7.8182706930262853</v>
      </c>
      <c r="P184">
        <f t="shared" si="25"/>
        <v>4.2010645231370836</v>
      </c>
      <c r="Q184">
        <f t="shared" si="26"/>
        <v>11.440908103410816</v>
      </c>
      <c r="R184">
        <f t="shared" si="27"/>
        <v>7.4761025418205502</v>
      </c>
      <c r="S184">
        <f t="shared" si="28"/>
        <v>3.7095372583097976</v>
      </c>
      <c r="T184">
        <f t="shared" si="29"/>
        <v>3.6199217901368672</v>
      </c>
      <c r="U184">
        <f t="shared" si="30"/>
        <v>3.2397349554638271</v>
      </c>
      <c r="V184">
        <f t="shared" si="31"/>
        <v>17.977406039539428</v>
      </c>
      <c r="W184">
        <f t="shared" si="32"/>
        <v>99.999999999999986</v>
      </c>
    </row>
    <row r="185" spans="1:23" x14ac:dyDescent="0.3">
      <c r="A185" t="s">
        <v>30</v>
      </c>
      <c r="B185">
        <v>2018</v>
      </c>
      <c r="C185" t="s">
        <v>34</v>
      </c>
      <c r="D185">
        <f>'All_India_Index_Upto_April23 (1'!D185+'All_India_Index_Upto_April23 (1'!G185+'All_India_Index_Upto_April23 (1'!H185+'All_India_Index_Upto_April23 (1'!I185+'All_India_Index_Upto_April23 (1'!J185+'All_India_Index_Upto_April23 (1'!K185+'All_India_Index_Upto_April23 (1'!L185+'All_India_Index_Upto_April23 (1'!M185+'All_India_Index_Upto_April23 (1'!N185+'All_India_Index_Upto_April23 (1'!O185+'All_India_Index_Upto_April23 (1'!P185</f>
        <v>1497.2</v>
      </c>
      <c r="E185">
        <f>'All_India_Index_Upto_April23 (1'!E185+'All_India_Index_Upto_April23 (1'!F185</f>
        <v>284.29999999999995</v>
      </c>
      <c r="F185">
        <v>153.30000000000001</v>
      </c>
      <c r="G185">
        <f>'All_India_Index_Upto_April23 (1'!R185+'All_India_Index_Upto_April23 (1'!S185+'All_India_Index_Upto_April23 (1'!T185</f>
        <v>438.90000000000003</v>
      </c>
      <c r="H185">
        <f>'All_India_Index_Upto_April23 (1'!U185+'All_India_Index_Upto_April23 (1'!W185</f>
        <v>139.9</v>
      </c>
      <c r="I185">
        <v>142.4</v>
      </c>
      <c r="J185">
        <v>136.19999999999999</v>
      </c>
      <c r="K185">
        <v>123.3</v>
      </c>
      <c r="L185">
        <f>'All_India_Index_Upto_April23 (1'!Z185+'All_India_Index_Upto_April23 (1'!AA185+'All_India_Index_Upto_April23 (1'!AB185+'All_India_Index_Upto_April23 (1'!AC185+'All_India_Index_Upto_April23 (1'!AD185</f>
        <v>675.6</v>
      </c>
      <c r="M185">
        <f t="shared" si="22"/>
        <v>3591.1</v>
      </c>
      <c r="N185">
        <f t="shared" si="23"/>
        <v>41.691960680571412</v>
      </c>
      <c r="O185">
        <f t="shared" si="24"/>
        <v>7.9167942970120562</v>
      </c>
      <c r="P185">
        <f t="shared" si="25"/>
        <v>4.2688869705661219</v>
      </c>
      <c r="Q185">
        <f t="shared" si="26"/>
        <v>12.221881874634514</v>
      </c>
      <c r="R185">
        <f t="shared" si="27"/>
        <v>3.8957422516777593</v>
      </c>
      <c r="S185">
        <f t="shared" si="28"/>
        <v>3.96535880370917</v>
      </c>
      <c r="T185">
        <f t="shared" si="29"/>
        <v>3.7927097546712703</v>
      </c>
      <c r="U185">
        <f t="shared" si="30"/>
        <v>3.4334883461891899</v>
      </c>
      <c r="V185">
        <f t="shared" si="31"/>
        <v>18.813177020968507</v>
      </c>
      <c r="W185">
        <f t="shared" si="32"/>
        <v>100</v>
      </c>
    </row>
    <row r="186" spans="1:23" x14ac:dyDescent="0.3">
      <c r="A186" t="s">
        <v>32</v>
      </c>
      <c r="B186">
        <v>2018</v>
      </c>
      <c r="C186" t="s">
        <v>34</v>
      </c>
      <c r="D186">
        <f>'All_India_Index_Upto_April23 (1'!D186+'All_India_Index_Upto_April23 (1'!G186+'All_India_Index_Upto_April23 (1'!H186+'All_India_Index_Upto_April23 (1'!I186+'All_India_Index_Upto_April23 (1'!J186+'All_India_Index_Upto_April23 (1'!K186+'All_India_Index_Upto_April23 (1'!L186+'All_India_Index_Upto_April23 (1'!M186+'All_India_Index_Upto_April23 (1'!N186+'All_India_Index_Upto_April23 (1'!O186+'All_India_Index_Upto_April23 (1'!P186</f>
        <v>1445</v>
      </c>
      <c r="E186">
        <f>'All_India_Index_Upto_April23 (1'!E186+'All_India_Index_Upto_April23 (1'!F186</f>
        <v>282.89999999999998</v>
      </c>
      <c r="F186">
        <v>159.30000000000001</v>
      </c>
      <c r="G186">
        <f>'All_India_Index_Upto_April23 (1'!R186+'All_India_Index_Upto_April23 (1'!S186+'All_India_Index_Upto_April23 (1'!T186</f>
        <v>397.09999999999997</v>
      </c>
      <c r="H186">
        <f>'All_India_Index_Upto_April23 (1'!U186+'All_India_Index_Upto_April23 (1'!W186</f>
        <v>271.20000000000005</v>
      </c>
      <c r="I186">
        <v>127.3</v>
      </c>
      <c r="J186">
        <v>129.80000000000001</v>
      </c>
      <c r="K186">
        <v>117.4</v>
      </c>
      <c r="L186">
        <f>'All_India_Index_Upto_April23 (1'!Z186+'All_India_Index_Upto_April23 (1'!AA186+'All_India_Index_Upto_April23 (1'!AB186+'All_India_Index_Upto_April23 (1'!AC186+'All_India_Index_Upto_April23 (1'!AD186</f>
        <v>650.4</v>
      </c>
      <c r="M186">
        <f t="shared" si="22"/>
        <v>3580.4000000000005</v>
      </c>
      <c r="N186">
        <f t="shared" si="23"/>
        <v>40.358619148698466</v>
      </c>
      <c r="O186">
        <f t="shared" si="24"/>
        <v>7.9013518042676782</v>
      </c>
      <c r="P186">
        <f t="shared" si="25"/>
        <v>4.4492235504412916</v>
      </c>
      <c r="Q186">
        <f t="shared" si="26"/>
        <v>11.090939559825715</v>
      </c>
      <c r="R186">
        <f t="shared" si="27"/>
        <v>7.5745726734443073</v>
      </c>
      <c r="S186">
        <f t="shared" si="28"/>
        <v>3.5554686627192487</v>
      </c>
      <c r="T186">
        <f t="shared" si="29"/>
        <v>3.6252932633225337</v>
      </c>
      <c r="U186">
        <f t="shared" si="30"/>
        <v>3.2789632443302423</v>
      </c>
      <c r="V186">
        <f t="shared" si="31"/>
        <v>18.165568092950505</v>
      </c>
      <c r="W186">
        <f t="shared" si="32"/>
        <v>99.999999999999986</v>
      </c>
    </row>
    <row r="187" spans="1:23" x14ac:dyDescent="0.3">
      <c r="A187" t="s">
        <v>33</v>
      </c>
      <c r="B187">
        <v>2018</v>
      </c>
      <c r="C187" t="s">
        <v>34</v>
      </c>
      <c r="D187">
        <f>'All_India_Index_Upto_April23 (1'!D187+'All_India_Index_Upto_April23 (1'!G187+'All_India_Index_Upto_April23 (1'!H187+'All_India_Index_Upto_April23 (1'!I187+'All_India_Index_Upto_April23 (1'!J187+'All_India_Index_Upto_April23 (1'!K187+'All_India_Index_Upto_April23 (1'!L187+'All_India_Index_Upto_April23 (1'!M187+'All_India_Index_Upto_April23 (1'!N187+'All_India_Index_Upto_April23 (1'!O187+'All_India_Index_Upto_April23 (1'!P187</f>
        <v>1476.5999999999997</v>
      </c>
      <c r="E187">
        <f>'All_India_Index_Upto_April23 (1'!E187+'All_India_Index_Upto_April23 (1'!F187</f>
        <v>283.8</v>
      </c>
      <c r="F187">
        <v>154.9</v>
      </c>
      <c r="G187">
        <f>'All_India_Index_Upto_April23 (1'!R187+'All_India_Index_Upto_April23 (1'!S187+'All_India_Index_Upto_April23 (1'!T187</f>
        <v>422</v>
      </c>
      <c r="H187">
        <f>'All_India_Index_Upto_April23 (1'!U187+'All_India_Index_Upto_April23 (1'!W187</f>
        <v>276.5</v>
      </c>
      <c r="I187">
        <v>136.69999999999999</v>
      </c>
      <c r="J187">
        <v>133.80000000000001</v>
      </c>
      <c r="K187">
        <v>120.2</v>
      </c>
      <c r="L187">
        <f>'All_India_Index_Upto_April23 (1'!Z187+'All_India_Index_Upto_April23 (1'!AA187+'All_India_Index_Upto_April23 (1'!AB187+'All_India_Index_Upto_April23 (1'!AC187+'All_India_Index_Upto_April23 (1'!AD187</f>
        <v>662.59999999999991</v>
      </c>
      <c r="M187">
        <f t="shared" si="22"/>
        <v>3667.0999999999995</v>
      </c>
      <c r="N187">
        <f t="shared" si="23"/>
        <v>40.266150364047881</v>
      </c>
      <c r="O187">
        <f t="shared" si="24"/>
        <v>7.739085380818632</v>
      </c>
      <c r="P187">
        <f t="shared" si="25"/>
        <v>4.2240462490796551</v>
      </c>
      <c r="Q187">
        <f t="shared" si="26"/>
        <v>11.507730904529465</v>
      </c>
      <c r="R187">
        <f t="shared" si="27"/>
        <v>7.5400179978729804</v>
      </c>
      <c r="S187">
        <f t="shared" si="28"/>
        <v>3.7277412669411798</v>
      </c>
      <c r="T187">
        <f t="shared" si="29"/>
        <v>3.6486597038531818</v>
      </c>
      <c r="U187">
        <f t="shared" si="30"/>
        <v>3.2777944424749808</v>
      </c>
      <c r="V187">
        <f t="shared" si="31"/>
        <v>18.068773690382045</v>
      </c>
      <c r="W187">
        <f t="shared" si="32"/>
        <v>100.00000000000001</v>
      </c>
    </row>
    <row r="188" spans="1:23" x14ac:dyDescent="0.3">
      <c r="A188" t="s">
        <v>30</v>
      </c>
      <c r="B188">
        <v>2018</v>
      </c>
      <c r="C188" t="s">
        <v>35</v>
      </c>
      <c r="D188">
        <f>'All_India_Index_Upto_April23 (1'!D188+'All_India_Index_Upto_April23 (1'!G188+'All_India_Index_Upto_April23 (1'!H188+'All_India_Index_Upto_April23 (1'!I188+'All_India_Index_Upto_April23 (1'!J188+'All_India_Index_Upto_April23 (1'!K188+'All_India_Index_Upto_April23 (1'!L188+'All_India_Index_Upto_April23 (1'!M188+'All_India_Index_Upto_April23 (1'!N188+'All_India_Index_Upto_April23 (1'!O188+'All_India_Index_Upto_April23 (1'!P188</f>
        <v>1498.2</v>
      </c>
      <c r="E188">
        <f>'All_India_Index_Upto_April23 (1'!E188+'All_India_Index_Upto_April23 (1'!F188</f>
        <v>283.8</v>
      </c>
      <c r="F188">
        <v>155.1</v>
      </c>
      <c r="G188">
        <f>'All_India_Index_Upto_April23 (1'!R188+'All_India_Index_Upto_April23 (1'!S188+'All_India_Index_Upto_April23 (1'!T188</f>
        <v>440.5</v>
      </c>
      <c r="H188">
        <f>'All_India_Index_Upto_April23 (1'!U188+'All_India_Index_Upto_April23 (1'!W188</f>
        <v>139.9</v>
      </c>
      <c r="I188">
        <v>142.6</v>
      </c>
      <c r="J188">
        <v>136.69999999999999</v>
      </c>
      <c r="K188">
        <v>124.6</v>
      </c>
      <c r="L188">
        <f>'All_India_Index_Upto_April23 (1'!Z188+'All_India_Index_Upto_April23 (1'!AA188+'All_India_Index_Upto_April23 (1'!AB188+'All_India_Index_Upto_April23 (1'!AC188+'All_India_Index_Upto_April23 (1'!AD188</f>
        <v>679.09999999999991</v>
      </c>
      <c r="M188">
        <f t="shared" si="22"/>
        <v>3600.4999999999995</v>
      </c>
      <c r="N188">
        <f t="shared" si="23"/>
        <v>41.610887376753233</v>
      </c>
      <c r="O188">
        <f t="shared" si="24"/>
        <v>7.8822385779752828</v>
      </c>
      <c r="P188">
        <f t="shared" si="25"/>
        <v>4.3077350368004446</v>
      </c>
      <c r="Q188">
        <f t="shared" si="26"/>
        <v>12.234411887237885</v>
      </c>
      <c r="R188">
        <f t="shared" si="27"/>
        <v>3.8855714484099435</v>
      </c>
      <c r="S188">
        <f t="shared" si="28"/>
        <v>3.9605610331898347</v>
      </c>
      <c r="T188">
        <f t="shared" si="29"/>
        <v>3.7966949034856272</v>
      </c>
      <c r="U188">
        <f t="shared" si="30"/>
        <v>3.4606304679905575</v>
      </c>
      <c r="V188">
        <f t="shared" si="31"/>
        <v>18.861269268157198</v>
      </c>
      <c r="W188">
        <f t="shared" si="32"/>
        <v>100.00000000000001</v>
      </c>
    </row>
    <row r="189" spans="1:23" x14ac:dyDescent="0.3">
      <c r="A189" t="s">
        <v>32</v>
      </c>
      <c r="B189">
        <v>2018</v>
      </c>
      <c r="C189" t="s">
        <v>35</v>
      </c>
      <c r="D189">
        <f>'All_India_Index_Upto_April23 (1'!D189+'All_India_Index_Upto_April23 (1'!G189+'All_India_Index_Upto_April23 (1'!H189+'All_India_Index_Upto_April23 (1'!I189+'All_India_Index_Upto_April23 (1'!J189+'All_India_Index_Upto_April23 (1'!K189+'All_India_Index_Upto_April23 (1'!L189+'All_India_Index_Upto_April23 (1'!M189+'All_India_Index_Upto_April23 (1'!N189+'All_India_Index_Upto_April23 (1'!O189+'All_India_Index_Upto_April23 (1'!P189</f>
        <v>1436.8999999999999</v>
      </c>
      <c r="E189">
        <f>'All_India_Index_Upto_April23 (1'!E189+'All_India_Index_Upto_April23 (1'!F189</f>
        <v>278.60000000000002</v>
      </c>
      <c r="F189">
        <v>159.69999999999999</v>
      </c>
      <c r="G189">
        <f>'All_India_Index_Upto_April23 (1'!R189+'All_India_Index_Upto_April23 (1'!S189+'All_India_Index_Upto_April23 (1'!T189</f>
        <v>398.59999999999997</v>
      </c>
      <c r="H189">
        <f>'All_India_Index_Upto_April23 (1'!U189+'All_India_Index_Upto_April23 (1'!W189</f>
        <v>272.8</v>
      </c>
      <c r="I189">
        <v>126.4</v>
      </c>
      <c r="J189">
        <v>130.5</v>
      </c>
      <c r="K189">
        <v>117.8</v>
      </c>
      <c r="L189">
        <f>'All_India_Index_Upto_April23 (1'!Z189+'All_India_Index_Upto_April23 (1'!AA189+'All_India_Index_Upto_April23 (1'!AB189+'All_India_Index_Upto_April23 (1'!AC189+'All_India_Index_Upto_April23 (1'!AD189</f>
        <v>652.4</v>
      </c>
      <c r="M189">
        <f t="shared" si="22"/>
        <v>3573.7000000000007</v>
      </c>
      <c r="N189">
        <f t="shared" si="23"/>
        <v>40.207627948624662</v>
      </c>
      <c r="O189">
        <f t="shared" si="24"/>
        <v>7.7958418445868416</v>
      </c>
      <c r="P189">
        <f t="shared" si="25"/>
        <v>4.4687578699946817</v>
      </c>
      <c r="Q189">
        <f t="shared" si="26"/>
        <v>11.153706242829557</v>
      </c>
      <c r="R189">
        <f t="shared" si="27"/>
        <v>7.6335450653384429</v>
      </c>
      <c r="S189">
        <f t="shared" si="28"/>
        <v>3.5369504994823289</v>
      </c>
      <c r="T189">
        <f t="shared" si="29"/>
        <v>3.6516775330889546</v>
      </c>
      <c r="U189">
        <f t="shared" si="30"/>
        <v>3.2963035509416003</v>
      </c>
      <c r="V189">
        <f t="shared" si="31"/>
        <v>18.255589445112903</v>
      </c>
      <c r="W189">
        <f t="shared" si="32"/>
        <v>99.999999999999972</v>
      </c>
    </row>
    <row r="190" spans="1:23" x14ac:dyDescent="0.3">
      <c r="A190" t="s">
        <v>33</v>
      </c>
      <c r="B190">
        <v>2018</v>
      </c>
      <c r="C190" t="s">
        <v>35</v>
      </c>
      <c r="D190">
        <f>'All_India_Index_Upto_April23 (1'!D190+'All_India_Index_Upto_April23 (1'!G190+'All_India_Index_Upto_April23 (1'!H190+'All_India_Index_Upto_April23 (1'!I190+'All_India_Index_Upto_April23 (1'!J190+'All_India_Index_Upto_April23 (1'!K190+'All_India_Index_Upto_April23 (1'!L190+'All_India_Index_Upto_April23 (1'!M190+'All_India_Index_Upto_April23 (1'!N190+'All_India_Index_Upto_April23 (1'!O190+'All_India_Index_Upto_April23 (1'!P190</f>
        <v>1474.1000000000001</v>
      </c>
      <c r="E190">
        <f>'All_India_Index_Upto_April23 (1'!E190+'All_India_Index_Upto_April23 (1'!F190</f>
        <v>281.89999999999998</v>
      </c>
      <c r="F190">
        <v>156.30000000000001</v>
      </c>
      <c r="G190">
        <f>'All_India_Index_Upto_April23 (1'!R190+'All_India_Index_Upto_April23 (1'!S190+'All_India_Index_Upto_April23 (1'!T190</f>
        <v>423.6</v>
      </c>
      <c r="H190">
        <f>'All_India_Index_Upto_April23 (1'!U190+'All_India_Index_Upto_April23 (1'!W190</f>
        <v>277.60000000000002</v>
      </c>
      <c r="I190">
        <v>136.5</v>
      </c>
      <c r="J190">
        <v>134.30000000000001</v>
      </c>
      <c r="K190">
        <v>121</v>
      </c>
      <c r="L190">
        <f>'All_India_Index_Upto_April23 (1'!Z190+'All_India_Index_Upto_April23 (1'!AA190+'All_India_Index_Upto_April23 (1'!AB190+'All_India_Index_Upto_April23 (1'!AC190+'All_India_Index_Upto_April23 (1'!AD190</f>
        <v>665.2</v>
      </c>
      <c r="M190">
        <f t="shared" si="22"/>
        <v>3670.5</v>
      </c>
      <c r="N190">
        <f t="shared" si="23"/>
        <v>40.160741043454571</v>
      </c>
      <c r="O190">
        <f t="shared" si="24"/>
        <v>7.6801525677700582</v>
      </c>
      <c r="P190">
        <f t="shared" si="25"/>
        <v>4.2582754393134454</v>
      </c>
      <c r="Q190">
        <f t="shared" si="26"/>
        <v>11.540662035145075</v>
      </c>
      <c r="R190">
        <f t="shared" si="27"/>
        <v>7.5630023157607962</v>
      </c>
      <c r="S190">
        <f t="shared" si="28"/>
        <v>3.7188393951777683</v>
      </c>
      <c r="T190">
        <f t="shared" si="29"/>
        <v>3.6589020569404718</v>
      </c>
      <c r="U190">
        <f t="shared" si="30"/>
        <v>3.2965536030513554</v>
      </c>
      <c r="V190">
        <f t="shared" si="31"/>
        <v>18.122871543386459</v>
      </c>
      <c r="W190">
        <f t="shared" si="32"/>
        <v>100</v>
      </c>
    </row>
    <row r="191" spans="1:23" x14ac:dyDescent="0.3">
      <c r="A191" t="s">
        <v>30</v>
      </c>
      <c r="B191">
        <v>2018</v>
      </c>
      <c r="C191" t="s">
        <v>36</v>
      </c>
      <c r="D191">
        <f>'All_India_Index_Upto_April23 (1'!D191+'All_India_Index_Upto_April23 (1'!G191+'All_India_Index_Upto_April23 (1'!H191+'All_India_Index_Upto_April23 (1'!I191+'All_India_Index_Upto_April23 (1'!J191+'All_India_Index_Upto_April23 (1'!K191+'All_India_Index_Upto_April23 (1'!L191+'All_India_Index_Upto_April23 (1'!M191+'All_India_Index_Upto_April23 (1'!N191+'All_India_Index_Upto_April23 (1'!O191+'All_India_Index_Upto_April23 (1'!P191</f>
        <v>1499.6</v>
      </c>
      <c r="E191">
        <f>'All_India_Index_Upto_April23 (1'!E191+'All_India_Index_Upto_April23 (1'!F191</f>
        <v>280.39999999999998</v>
      </c>
      <c r="F191">
        <v>156.1</v>
      </c>
      <c r="G191">
        <f>'All_India_Index_Upto_April23 (1'!R191+'All_India_Index_Upto_April23 (1'!S191+'All_India_Index_Upto_April23 (1'!T191</f>
        <v>442.5</v>
      </c>
      <c r="H191">
        <f>'All_India_Index_Upto_April23 (1'!U191+'All_India_Index_Upto_April23 (1'!W191</f>
        <v>140.9</v>
      </c>
      <c r="I191">
        <v>143.80000000000001</v>
      </c>
      <c r="J191">
        <v>137.6</v>
      </c>
      <c r="K191">
        <v>125.3</v>
      </c>
      <c r="L191">
        <f>'All_India_Index_Upto_April23 (1'!Z191+'All_India_Index_Upto_April23 (1'!AA191+'All_India_Index_Upto_April23 (1'!AB191+'All_India_Index_Upto_April23 (1'!AC191+'All_India_Index_Upto_April23 (1'!AD191</f>
        <v>683.4</v>
      </c>
      <c r="M191">
        <f t="shared" si="22"/>
        <v>3609.6000000000004</v>
      </c>
      <c r="N191">
        <f t="shared" si="23"/>
        <v>41.544769503546092</v>
      </c>
      <c r="O191">
        <f t="shared" si="24"/>
        <v>7.7681737588652471</v>
      </c>
      <c r="P191">
        <f t="shared" si="25"/>
        <v>4.3245789007092199</v>
      </c>
      <c r="Q191">
        <f t="shared" si="26"/>
        <v>12.258976063829786</v>
      </c>
      <c r="R191">
        <f t="shared" si="27"/>
        <v>3.9034796099290778</v>
      </c>
      <c r="S191">
        <f t="shared" si="28"/>
        <v>3.9838209219858154</v>
      </c>
      <c r="T191">
        <f t="shared" si="29"/>
        <v>3.8120567375886516</v>
      </c>
      <c r="U191">
        <f t="shared" si="30"/>
        <v>3.4712987588652475</v>
      </c>
      <c r="V191">
        <f t="shared" si="31"/>
        <v>18.932845744680847</v>
      </c>
      <c r="W191">
        <f t="shared" si="32"/>
        <v>99.999999999999972</v>
      </c>
    </row>
    <row r="192" spans="1:23" x14ac:dyDescent="0.3">
      <c r="A192" t="s">
        <v>32</v>
      </c>
      <c r="B192">
        <v>2018</v>
      </c>
      <c r="C192" t="s">
        <v>36</v>
      </c>
      <c r="D192">
        <f>'All_India_Index_Upto_April23 (1'!D192+'All_India_Index_Upto_April23 (1'!G192+'All_India_Index_Upto_April23 (1'!H192+'All_India_Index_Upto_April23 (1'!I192+'All_India_Index_Upto_April23 (1'!J192+'All_India_Index_Upto_April23 (1'!K192+'All_India_Index_Upto_April23 (1'!L192+'All_India_Index_Upto_April23 (1'!M192+'All_India_Index_Upto_April23 (1'!N192+'All_India_Index_Upto_April23 (1'!O192+'All_India_Index_Upto_April23 (1'!P192</f>
        <v>1444.9</v>
      </c>
      <c r="E192">
        <f>'All_India_Index_Upto_April23 (1'!E192+'All_India_Index_Upto_April23 (1'!F192</f>
        <v>275.10000000000002</v>
      </c>
      <c r="F192">
        <v>159.19999999999999</v>
      </c>
      <c r="G192">
        <f>'All_India_Index_Upto_April23 (1'!R192+'All_India_Index_Upto_April23 (1'!S192+'All_India_Index_Upto_April23 (1'!T192</f>
        <v>401.40000000000003</v>
      </c>
      <c r="H192">
        <f>'All_India_Index_Upto_April23 (1'!U192+'All_India_Index_Upto_April23 (1'!W192</f>
        <v>274.70000000000005</v>
      </c>
      <c r="I192">
        <v>124.6</v>
      </c>
      <c r="J192">
        <v>131.30000000000001</v>
      </c>
      <c r="K192">
        <v>118.9</v>
      </c>
      <c r="L192">
        <f>'All_India_Index_Upto_April23 (1'!Z192+'All_India_Index_Upto_April23 (1'!AA192+'All_India_Index_Upto_April23 (1'!AB192+'All_India_Index_Upto_April23 (1'!AC192+'All_India_Index_Upto_April23 (1'!AD192</f>
        <v>657.89999999999986</v>
      </c>
      <c r="M192">
        <f t="shared" si="22"/>
        <v>3588</v>
      </c>
      <c r="N192">
        <f t="shared" si="23"/>
        <v>40.270345596432556</v>
      </c>
      <c r="O192">
        <f t="shared" si="24"/>
        <v>7.6672240802675597</v>
      </c>
      <c r="P192">
        <f t="shared" si="25"/>
        <v>4.437012263099219</v>
      </c>
      <c r="Q192">
        <f t="shared" si="26"/>
        <v>11.187290969899665</v>
      </c>
      <c r="R192">
        <f t="shared" si="27"/>
        <v>7.6560758082497227</v>
      </c>
      <c r="S192">
        <f t="shared" si="28"/>
        <v>3.4726867335562988</v>
      </c>
      <c r="T192">
        <f t="shared" si="29"/>
        <v>3.6594202898550727</v>
      </c>
      <c r="U192">
        <f t="shared" si="30"/>
        <v>3.3138238573021188</v>
      </c>
      <c r="V192">
        <f t="shared" si="31"/>
        <v>18.336120401337787</v>
      </c>
      <c r="W192">
        <f t="shared" si="32"/>
        <v>100</v>
      </c>
    </row>
    <row r="193" spans="1:23" x14ac:dyDescent="0.3">
      <c r="A193" t="s">
        <v>33</v>
      </c>
      <c r="B193">
        <v>2018</v>
      </c>
      <c r="C193" t="s">
        <v>36</v>
      </c>
      <c r="D193">
        <f>'All_India_Index_Upto_April23 (1'!D193+'All_India_Index_Upto_April23 (1'!G193+'All_India_Index_Upto_April23 (1'!H193+'All_India_Index_Upto_April23 (1'!I193+'All_India_Index_Upto_April23 (1'!J193+'All_India_Index_Upto_April23 (1'!K193+'All_India_Index_Upto_April23 (1'!L193+'All_India_Index_Upto_April23 (1'!M193+'All_India_Index_Upto_April23 (1'!N193+'All_India_Index_Upto_April23 (1'!O193+'All_India_Index_Upto_April23 (1'!P193</f>
        <v>1478.8</v>
      </c>
      <c r="E193">
        <f>'All_India_Index_Upto_April23 (1'!E193+'All_India_Index_Upto_April23 (1'!F193</f>
        <v>278.3</v>
      </c>
      <c r="F193">
        <v>156.9</v>
      </c>
      <c r="G193">
        <f>'All_India_Index_Upto_April23 (1'!R193+'All_India_Index_Upto_April23 (1'!S193+'All_India_Index_Upto_April23 (1'!T193</f>
        <v>426</v>
      </c>
      <c r="H193">
        <f>'All_India_Index_Upto_April23 (1'!U193+'All_India_Index_Upto_April23 (1'!W193</f>
        <v>279.5</v>
      </c>
      <c r="I193">
        <v>136.5</v>
      </c>
      <c r="J193">
        <v>135.19999999999999</v>
      </c>
      <c r="K193">
        <v>121.9</v>
      </c>
      <c r="L193">
        <f>'All_India_Index_Upto_April23 (1'!Z193+'All_India_Index_Upto_April23 (1'!AA193+'All_India_Index_Upto_April23 (1'!AB193+'All_India_Index_Upto_April23 (1'!AC193+'All_India_Index_Upto_April23 (1'!AD193</f>
        <v>670.30000000000007</v>
      </c>
      <c r="M193">
        <f t="shared" si="22"/>
        <v>3683.4</v>
      </c>
      <c r="N193">
        <f t="shared" si="23"/>
        <v>40.14768963457675</v>
      </c>
      <c r="O193">
        <f t="shared" si="24"/>
        <v>7.5555193571157089</v>
      </c>
      <c r="P193">
        <f t="shared" si="25"/>
        <v>4.2596514090242712</v>
      </c>
      <c r="Q193">
        <f t="shared" si="26"/>
        <v>11.565401531194006</v>
      </c>
      <c r="R193">
        <f t="shared" si="27"/>
        <v>7.5880979529782264</v>
      </c>
      <c r="S193">
        <f t="shared" si="28"/>
        <v>3.7058152793614596</v>
      </c>
      <c r="T193">
        <f t="shared" si="29"/>
        <v>3.6705218005103979</v>
      </c>
      <c r="U193">
        <f t="shared" si="30"/>
        <v>3.3094423630341532</v>
      </c>
      <c r="V193">
        <f t="shared" si="31"/>
        <v>18.197860672205028</v>
      </c>
      <c r="W193">
        <f t="shared" si="32"/>
        <v>100</v>
      </c>
    </row>
    <row r="194" spans="1:23" x14ac:dyDescent="0.3">
      <c r="A194" t="s">
        <v>30</v>
      </c>
      <c r="B194">
        <v>2018</v>
      </c>
      <c r="C194" t="s">
        <v>37</v>
      </c>
      <c r="D194">
        <f>'All_India_Index_Upto_April23 (1'!D194+'All_India_Index_Upto_April23 (1'!G194+'All_India_Index_Upto_April23 (1'!H194+'All_India_Index_Upto_April23 (1'!I194+'All_India_Index_Upto_April23 (1'!J194+'All_India_Index_Upto_April23 (1'!K194+'All_India_Index_Upto_April23 (1'!L194+'All_India_Index_Upto_April23 (1'!M194+'All_India_Index_Upto_April23 (1'!N194+'All_India_Index_Upto_April23 (1'!O194+'All_India_Index_Upto_April23 (1'!P194</f>
        <v>1501.2</v>
      </c>
      <c r="E194">
        <f>'All_India_Index_Upto_April23 (1'!E194+'All_India_Index_Upto_April23 (1'!F194</f>
        <v>281.2</v>
      </c>
      <c r="F194">
        <v>157</v>
      </c>
      <c r="G194">
        <f>'All_India_Index_Upto_April23 (1'!R194+'All_India_Index_Upto_April23 (1'!S194+'All_India_Index_Upto_April23 (1'!T194</f>
        <v>444.7</v>
      </c>
      <c r="H194">
        <f>'All_India_Index_Upto_April23 (1'!U194+'All_India_Index_Upto_April23 (1'!W194</f>
        <v>141.80000000000001</v>
      </c>
      <c r="I194">
        <v>144.30000000000001</v>
      </c>
      <c r="J194">
        <v>138.4</v>
      </c>
      <c r="K194">
        <v>126.4</v>
      </c>
      <c r="L194">
        <f>'All_India_Index_Upto_April23 (1'!Z194+'All_India_Index_Upto_April23 (1'!AA194+'All_India_Index_Upto_April23 (1'!AB194+'All_India_Index_Upto_April23 (1'!AC194+'All_India_Index_Upto_April23 (1'!AD194</f>
        <v>687.3</v>
      </c>
      <c r="M194">
        <f t="shared" si="22"/>
        <v>3622.3</v>
      </c>
      <c r="N194">
        <f t="shared" si="23"/>
        <v>41.443281892720094</v>
      </c>
      <c r="O194">
        <f t="shared" si="24"/>
        <v>7.7630234933605715</v>
      </c>
      <c r="P194">
        <f t="shared" si="25"/>
        <v>4.334262761229053</v>
      </c>
      <c r="Q194">
        <f t="shared" si="26"/>
        <v>12.276730254258343</v>
      </c>
      <c r="R194">
        <f t="shared" si="27"/>
        <v>3.9146398696960496</v>
      </c>
      <c r="S194">
        <f t="shared" si="28"/>
        <v>3.9836567926455571</v>
      </c>
      <c r="T194">
        <f t="shared" si="29"/>
        <v>3.8207768544847198</v>
      </c>
      <c r="U194">
        <f t="shared" si="30"/>
        <v>3.4894956243270854</v>
      </c>
      <c r="V194">
        <f t="shared" si="31"/>
        <v>18.974132457278522</v>
      </c>
      <c r="W194">
        <f t="shared" si="32"/>
        <v>100</v>
      </c>
    </row>
    <row r="195" spans="1:23" x14ac:dyDescent="0.3">
      <c r="A195" t="s">
        <v>32</v>
      </c>
      <c r="B195">
        <v>2018</v>
      </c>
      <c r="C195" t="s">
        <v>37</v>
      </c>
      <c r="D195">
        <f>'All_India_Index_Upto_April23 (1'!D195+'All_India_Index_Upto_April23 (1'!G195+'All_India_Index_Upto_April23 (1'!H195+'All_India_Index_Upto_April23 (1'!I195+'All_India_Index_Upto_April23 (1'!J195+'All_India_Index_Upto_April23 (1'!K195+'All_India_Index_Upto_April23 (1'!L195+'All_India_Index_Upto_April23 (1'!M195+'All_India_Index_Upto_April23 (1'!N195+'All_India_Index_Upto_April23 (1'!O195+'All_India_Index_Upto_April23 (1'!P195</f>
        <v>1444.2</v>
      </c>
      <c r="E195">
        <f>'All_India_Index_Upto_April23 (1'!E195+'All_India_Index_Upto_April23 (1'!F195</f>
        <v>278.7</v>
      </c>
      <c r="F195">
        <v>160.30000000000001</v>
      </c>
      <c r="G195">
        <f>'All_India_Index_Upto_April23 (1'!R195+'All_India_Index_Upto_April23 (1'!S195+'All_India_Index_Upto_April23 (1'!T195</f>
        <v>403.5</v>
      </c>
      <c r="H195">
        <f>'All_India_Index_Upto_April23 (1'!U195+'All_India_Index_Upto_April23 (1'!W195</f>
        <v>275.7</v>
      </c>
      <c r="I195">
        <v>124.7</v>
      </c>
      <c r="J195">
        <v>132</v>
      </c>
      <c r="K195">
        <v>119.8</v>
      </c>
      <c r="L195">
        <f>'All_India_Index_Upto_April23 (1'!Z195+'All_India_Index_Upto_April23 (1'!AA195+'All_India_Index_Upto_April23 (1'!AB195+'All_India_Index_Upto_April23 (1'!AC195+'All_India_Index_Upto_April23 (1'!AD195</f>
        <v>660.8</v>
      </c>
      <c r="M195">
        <f t="shared" ref="M195:M258" si="33">D195+E195+F195+G195+H195+I195+J195+K195+L195</f>
        <v>3599.7</v>
      </c>
      <c r="N195">
        <f t="shared" ref="N195:N258" si="34">D195/M195*100</f>
        <v>40.120010000833403</v>
      </c>
      <c r="O195">
        <f t="shared" ref="O195:O258" si="35">E195/M195*100</f>
        <v>7.7423118593216103</v>
      </c>
      <c r="P195">
        <f t="shared" ref="P195:P258" si="36">F195/M195*100</f>
        <v>4.4531488735172386</v>
      </c>
      <c r="Q195">
        <f t="shared" ref="Q195:Q258" si="37">G195/M195*100</f>
        <v>11.209267438953246</v>
      </c>
      <c r="R195">
        <f t="shared" ref="R195:R258" si="38">H195/M195*100</f>
        <v>7.6589715809650807</v>
      </c>
      <c r="S195">
        <f t="shared" ref="S195:S258" si="39">I195/M195*100</f>
        <v>3.464177570353085</v>
      </c>
      <c r="T195">
        <f t="shared" ref="T195:T258" si="40">J195/M195*100</f>
        <v>3.6669722476873079</v>
      </c>
      <c r="U195">
        <f t="shared" ref="U195:U258" si="41">K195/M195*100</f>
        <v>3.3280551157040863</v>
      </c>
      <c r="V195">
        <f t="shared" ref="V195:V258" si="42">L195/M195*100</f>
        <v>18.357085312664946</v>
      </c>
      <c r="W195">
        <f t="shared" ref="W195:W258" si="43">N195+O195+P195+Q195+R195+S195+T195+U195+V195</f>
        <v>100.00000000000001</v>
      </c>
    </row>
    <row r="196" spans="1:23" x14ac:dyDescent="0.3">
      <c r="A196" t="s">
        <v>33</v>
      </c>
      <c r="B196">
        <v>2018</v>
      </c>
      <c r="C196" t="s">
        <v>37</v>
      </c>
      <c r="D196">
        <f>'All_India_Index_Upto_April23 (1'!D196+'All_India_Index_Upto_April23 (1'!G196+'All_India_Index_Upto_April23 (1'!H196+'All_India_Index_Upto_April23 (1'!I196+'All_India_Index_Upto_April23 (1'!J196+'All_India_Index_Upto_April23 (1'!K196+'All_India_Index_Upto_April23 (1'!L196+'All_India_Index_Upto_April23 (1'!M196+'All_India_Index_Upto_April23 (1'!N196+'All_India_Index_Upto_April23 (1'!O196+'All_India_Index_Upto_April23 (1'!P196</f>
        <v>1479.6</v>
      </c>
      <c r="E196">
        <f>'All_India_Index_Upto_April23 (1'!E196+'All_India_Index_Upto_April23 (1'!F196</f>
        <v>280.2</v>
      </c>
      <c r="F196">
        <v>157.9</v>
      </c>
      <c r="G196">
        <f>'All_India_Index_Upto_April23 (1'!R196+'All_India_Index_Upto_April23 (1'!S196+'All_India_Index_Upto_April23 (1'!T196</f>
        <v>428.09999999999997</v>
      </c>
      <c r="H196">
        <f>'All_India_Index_Upto_April23 (1'!U196+'All_India_Index_Upto_April23 (1'!W196</f>
        <v>280.60000000000002</v>
      </c>
      <c r="I196">
        <v>136.9</v>
      </c>
      <c r="J196">
        <v>136</v>
      </c>
      <c r="K196">
        <v>122.9</v>
      </c>
      <c r="L196">
        <f>'All_India_Index_Upto_April23 (1'!Z196+'All_India_Index_Upto_April23 (1'!AA196+'All_India_Index_Upto_April23 (1'!AB196+'All_India_Index_Upto_April23 (1'!AC196+'All_India_Index_Upto_April23 (1'!AD196</f>
        <v>673.7</v>
      </c>
      <c r="M196">
        <f t="shared" si="33"/>
        <v>3695.9000000000005</v>
      </c>
      <c r="N196">
        <f t="shared" si="34"/>
        <v>40.033550691306573</v>
      </c>
      <c r="O196">
        <f t="shared" si="35"/>
        <v>7.5813739549230208</v>
      </c>
      <c r="P196">
        <f t="shared" si="36"/>
        <v>4.2723017397656857</v>
      </c>
      <c r="Q196">
        <f t="shared" si="37"/>
        <v>11.583105603506585</v>
      </c>
      <c r="R196">
        <f t="shared" si="38"/>
        <v>7.5921967585703074</v>
      </c>
      <c r="S196">
        <f t="shared" si="39"/>
        <v>3.7041045482832322</v>
      </c>
      <c r="T196">
        <f t="shared" si="40"/>
        <v>3.6797532400768413</v>
      </c>
      <c r="U196">
        <f t="shared" si="41"/>
        <v>3.3253064206282636</v>
      </c>
      <c r="V196">
        <f t="shared" si="42"/>
        <v>18.228307042939473</v>
      </c>
      <c r="W196">
        <f t="shared" si="43"/>
        <v>99.999999999999986</v>
      </c>
    </row>
    <row r="197" spans="1:23" x14ac:dyDescent="0.3">
      <c r="A197" t="s">
        <v>30</v>
      </c>
      <c r="B197">
        <v>2018</v>
      </c>
      <c r="C197" t="s">
        <v>38</v>
      </c>
      <c r="D197">
        <f>'All_India_Index_Upto_April23 (1'!D197+'All_India_Index_Upto_April23 (1'!G197+'All_India_Index_Upto_April23 (1'!H197+'All_India_Index_Upto_April23 (1'!I197+'All_India_Index_Upto_April23 (1'!J197+'All_India_Index_Upto_April23 (1'!K197+'All_India_Index_Upto_April23 (1'!L197+'All_India_Index_Upto_April23 (1'!M197+'All_India_Index_Upto_April23 (1'!N197+'All_India_Index_Upto_April23 (1'!O197+'All_India_Index_Upto_April23 (1'!P197</f>
        <v>1505.4999999999998</v>
      </c>
      <c r="E197">
        <f>'All_India_Index_Upto_April23 (1'!E197+'All_India_Index_Upto_April23 (1'!F197</f>
        <v>284.79999999999995</v>
      </c>
      <c r="F197">
        <v>157.30000000000001</v>
      </c>
      <c r="G197">
        <f>'All_India_Index_Upto_April23 (1'!R197+'All_India_Index_Upto_April23 (1'!S197+'All_India_Index_Upto_April23 (1'!T197</f>
        <v>446.3</v>
      </c>
      <c r="H197">
        <f>'All_India_Index_Upto_April23 (1'!U197+'All_India_Index_Upto_April23 (1'!W197</f>
        <v>142.19999999999999</v>
      </c>
      <c r="I197">
        <v>145.1</v>
      </c>
      <c r="J197">
        <v>138.4</v>
      </c>
      <c r="K197">
        <v>127.4</v>
      </c>
      <c r="L197">
        <f>'All_India_Index_Upto_April23 (1'!Z197+'All_India_Index_Upto_April23 (1'!AA197+'All_India_Index_Upto_April23 (1'!AB197+'All_India_Index_Upto_April23 (1'!AC197+'All_India_Index_Upto_April23 (1'!AD197</f>
        <v>690.4</v>
      </c>
      <c r="M197">
        <f t="shared" si="33"/>
        <v>3637.3999999999996</v>
      </c>
      <c r="N197">
        <f t="shared" si="34"/>
        <v>41.3894540056084</v>
      </c>
      <c r="O197">
        <f t="shared" si="35"/>
        <v>7.8297685159729475</v>
      </c>
      <c r="P197">
        <f t="shared" si="36"/>
        <v>4.3245175125089359</v>
      </c>
      <c r="Q197">
        <f t="shared" si="37"/>
        <v>12.269753120360699</v>
      </c>
      <c r="R197">
        <f t="shared" si="38"/>
        <v>3.9093858250398634</v>
      </c>
      <c r="S197">
        <f t="shared" si="39"/>
        <v>3.9891131027657121</v>
      </c>
      <c r="T197">
        <f t="shared" si="40"/>
        <v>3.8049155990542696</v>
      </c>
      <c r="U197">
        <f t="shared" si="41"/>
        <v>3.5025017869907082</v>
      </c>
      <c r="V197">
        <f t="shared" si="42"/>
        <v>18.980590531698468</v>
      </c>
      <c r="W197">
        <f t="shared" si="43"/>
        <v>100</v>
      </c>
    </row>
    <row r="198" spans="1:23" x14ac:dyDescent="0.3">
      <c r="A198" t="s">
        <v>32</v>
      </c>
      <c r="B198">
        <v>2018</v>
      </c>
      <c r="C198" t="s">
        <v>38</v>
      </c>
      <c r="D198">
        <f>'All_India_Index_Upto_April23 (1'!D198+'All_India_Index_Upto_April23 (1'!G198+'All_India_Index_Upto_April23 (1'!H198+'All_India_Index_Upto_April23 (1'!I198+'All_India_Index_Upto_April23 (1'!J198+'All_India_Index_Upto_April23 (1'!K198+'All_India_Index_Upto_April23 (1'!L198+'All_India_Index_Upto_April23 (1'!M198+'All_India_Index_Upto_April23 (1'!N198+'All_India_Index_Upto_April23 (1'!O198+'All_India_Index_Upto_April23 (1'!P198</f>
        <v>1463.7</v>
      </c>
      <c r="E198">
        <f>'All_India_Index_Upto_April23 (1'!E198+'All_India_Index_Upto_April23 (1'!F198</f>
        <v>283.60000000000002</v>
      </c>
      <c r="F198">
        <v>161</v>
      </c>
      <c r="G198">
        <f>'All_India_Index_Upto_April23 (1'!R198+'All_India_Index_Upto_April23 (1'!S198+'All_India_Index_Upto_April23 (1'!T198</f>
        <v>405</v>
      </c>
      <c r="H198">
        <f>'All_India_Index_Upto_April23 (1'!U198+'All_India_Index_Upto_April23 (1'!W198</f>
        <v>275.60000000000002</v>
      </c>
      <c r="I198">
        <v>126.5</v>
      </c>
      <c r="J198">
        <v>132.6</v>
      </c>
      <c r="K198">
        <v>120.4</v>
      </c>
      <c r="L198">
        <f>'All_India_Index_Upto_April23 (1'!Z198+'All_India_Index_Upto_April23 (1'!AA198+'All_India_Index_Upto_April23 (1'!AB198+'All_India_Index_Upto_April23 (1'!AC198+'All_India_Index_Upto_April23 (1'!AD198</f>
        <v>663.59999999999991</v>
      </c>
      <c r="M198">
        <f t="shared" si="33"/>
        <v>3632</v>
      </c>
      <c r="N198">
        <f t="shared" si="34"/>
        <v>40.300110132158586</v>
      </c>
      <c r="O198">
        <f t="shared" si="35"/>
        <v>7.8083700440528645</v>
      </c>
      <c r="P198">
        <f t="shared" si="36"/>
        <v>4.4328193832599112</v>
      </c>
      <c r="Q198">
        <f t="shared" si="37"/>
        <v>11.150881057268723</v>
      </c>
      <c r="R198">
        <f t="shared" si="38"/>
        <v>7.5881057268722474</v>
      </c>
      <c r="S198">
        <f t="shared" si="39"/>
        <v>3.482929515418502</v>
      </c>
      <c r="T198">
        <f t="shared" si="40"/>
        <v>3.6508810572687218</v>
      </c>
      <c r="U198">
        <f t="shared" si="41"/>
        <v>3.3149779735682818</v>
      </c>
      <c r="V198">
        <f t="shared" si="42"/>
        <v>18.270925110132154</v>
      </c>
      <c r="W198">
        <f t="shared" si="43"/>
        <v>99.999999999999986</v>
      </c>
    </row>
    <row r="199" spans="1:23" x14ac:dyDescent="0.3">
      <c r="A199" t="s">
        <v>33</v>
      </c>
      <c r="B199">
        <v>2018</v>
      </c>
      <c r="C199" t="s">
        <v>38</v>
      </c>
      <c r="D199">
        <f>'All_India_Index_Upto_April23 (1'!D199+'All_India_Index_Upto_April23 (1'!G199+'All_India_Index_Upto_April23 (1'!H199+'All_India_Index_Upto_April23 (1'!I199+'All_India_Index_Upto_April23 (1'!J199+'All_India_Index_Upto_April23 (1'!K199+'All_India_Index_Upto_April23 (1'!L199+'All_India_Index_Upto_April23 (1'!M199+'All_India_Index_Upto_April23 (1'!N199+'All_India_Index_Upto_April23 (1'!O199+'All_India_Index_Upto_April23 (1'!P199</f>
        <v>1489.8000000000002</v>
      </c>
      <c r="E199">
        <f>'All_India_Index_Upto_April23 (1'!E199+'All_India_Index_Upto_April23 (1'!F199</f>
        <v>284.29999999999995</v>
      </c>
      <c r="F199">
        <v>158.30000000000001</v>
      </c>
      <c r="G199">
        <f>'All_India_Index_Upto_April23 (1'!R199+'All_India_Index_Upto_April23 (1'!S199+'All_India_Index_Upto_April23 (1'!T199</f>
        <v>429.7</v>
      </c>
      <c r="H199">
        <f>'All_India_Index_Upto_April23 (1'!U199+'All_India_Index_Upto_April23 (1'!W199</f>
        <v>280.39999999999998</v>
      </c>
      <c r="I199">
        <v>138.1</v>
      </c>
      <c r="J199">
        <v>136.19999999999999</v>
      </c>
      <c r="K199">
        <v>123.7</v>
      </c>
      <c r="L199">
        <f>'All_India_Index_Upto_April23 (1'!Z199+'All_India_Index_Upto_April23 (1'!AA199+'All_India_Index_Upto_April23 (1'!AB199+'All_India_Index_Upto_April23 (1'!AC199+'All_India_Index_Upto_April23 (1'!AD199</f>
        <v>676.6</v>
      </c>
      <c r="M199">
        <f t="shared" si="33"/>
        <v>3717.0999999999995</v>
      </c>
      <c r="N199">
        <f t="shared" si="34"/>
        <v>40.079631971160325</v>
      </c>
      <c r="O199">
        <f t="shared" si="35"/>
        <v>7.6484356084044007</v>
      </c>
      <c r="P199">
        <f t="shared" si="36"/>
        <v>4.2586962954991803</v>
      </c>
      <c r="Q199">
        <f t="shared" si="37"/>
        <v>11.560087164725189</v>
      </c>
      <c r="R199">
        <f t="shared" si="38"/>
        <v>7.5435151058620971</v>
      </c>
      <c r="S199">
        <f t="shared" si="39"/>
        <v>3.7152618977159615</v>
      </c>
      <c r="T199">
        <f t="shared" si="40"/>
        <v>3.6641467810927879</v>
      </c>
      <c r="U199">
        <f t="shared" si="41"/>
        <v>3.3278631190982226</v>
      </c>
      <c r="V199">
        <f t="shared" si="42"/>
        <v>18.202362056441853</v>
      </c>
      <c r="W199">
        <f t="shared" si="43"/>
        <v>100.00000000000001</v>
      </c>
    </row>
    <row r="200" spans="1:23" x14ac:dyDescent="0.3">
      <c r="A200" t="s">
        <v>30</v>
      </c>
      <c r="B200">
        <v>2018</v>
      </c>
      <c r="C200" t="s">
        <v>39</v>
      </c>
      <c r="D200">
        <f>'All_India_Index_Upto_April23 (1'!D200+'All_India_Index_Upto_April23 (1'!G200+'All_India_Index_Upto_April23 (1'!H200+'All_India_Index_Upto_April23 (1'!I200+'All_India_Index_Upto_April23 (1'!J200+'All_India_Index_Upto_April23 (1'!K200+'All_India_Index_Upto_April23 (1'!L200+'All_India_Index_Upto_April23 (1'!M200+'All_India_Index_Upto_April23 (1'!N200+'All_India_Index_Upto_April23 (1'!O200+'All_India_Index_Upto_April23 (1'!P200</f>
        <v>1521.8999999999999</v>
      </c>
      <c r="E200">
        <f>'All_India_Index_Upto_April23 (1'!E200+'All_India_Index_Upto_April23 (1'!F200</f>
        <v>288.60000000000002</v>
      </c>
      <c r="F200">
        <v>156.1</v>
      </c>
      <c r="G200">
        <f>'All_India_Index_Upto_April23 (1'!R200+'All_India_Index_Upto_April23 (1'!S200+'All_India_Index_Upto_April23 (1'!T200</f>
        <v>447.20000000000005</v>
      </c>
      <c r="H200">
        <f>'All_India_Index_Upto_April23 (1'!U200+'All_India_Index_Upto_April23 (1'!W200</f>
        <v>143.1</v>
      </c>
      <c r="I200">
        <v>146.80000000000001</v>
      </c>
      <c r="J200">
        <v>139</v>
      </c>
      <c r="K200">
        <v>127.5</v>
      </c>
      <c r="L200">
        <f>'All_India_Index_Upto_April23 (1'!Z200+'All_India_Index_Upto_April23 (1'!AA200+'All_India_Index_Upto_April23 (1'!AB200+'All_India_Index_Upto_April23 (1'!AC200+'All_India_Index_Upto_April23 (1'!AD200</f>
        <v>693.40000000000009</v>
      </c>
      <c r="M200">
        <f t="shared" si="33"/>
        <v>3663.6000000000004</v>
      </c>
      <c r="N200">
        <f t="shared" si="34"/>
        <v>41.541107107762848</v>
      </c>
      <c r="O200">
        <f t="shared" si="35"/>
        <v>7.8774975433999348</v>
      </c>
      <c r="P200">
        <f t="shared" si="36"/>
        <v>4.260836335844524</v>
      </c>
      <c r="Q200">
        <f t="shared" si="37"/>
        <v>12.206572769953052</v>
      </c>
      <c r="R200">
        <f t="shared" si="38"/>
        <v>3.9059941041598418</v>
      </c>
      <c r="S200">
        <f t="shared" si="39"/>
        <v>4.0069876624085596</v>
      </c>
      <c r="T200">
        <f t="shared" si="40"/>
        <v>3.7940823233977503</v>
      </c>
      <c r="U200">
        <f t="shared" si="41"/>
        <v>3.4801834261382245</v>
      </c>
      <c r="V200">
        <f t="shared" si="42"/>
        <v>18.926738726935255</v>
      </c>
      <c r="W200">
        <f t="shared" si="43"/>
        <v>99.999999999999986</v>
      </c>
    </row>
    <row r="201" spans="1:23" x14ac:dyDescent="0.3">
      <c r="A201" t="s">
        <v>32</v>
      </c>
      <c r="B201">
        <v>2018</v>
      </c>
      <c r="C201" t="s">
        <v>39</v>
      </c>
      <c r="D201">
        <f>'All_India_Index_Upto_April23 (1'!D201+'All_India_Index_Upto_April23 (1'!G201+'All_India_Index_Upto_April23 (1'!H201+'All_India_Index_Upto_April23 (1'!I201+'All_India_Index_Upto_April23 (1'!J201+'All_India_Index_Upto_April23 (1'!K201+'All_India_Index_Upto_April23 (1'!L201+'All_India_Index_Upto_April23 (1'!M201+'All_India_Index_Upto_April23 (1'!N201+'All_India_Index_Upto_April23 (1'!O201+'All_India_Index_Upto_April23 (1'!P201</f>
        <v>1483.4</v>
      </c>
      <c r="E201">
        <f>'All_India_Index_Upto_April23 (1'!E201+'All_India_Index_Upto_April23 (1'!F201</f>
        <v>287.7</v>
      </c>
      <c r="F201">
        <v>161.4</v>
      </c>
      <c r="G201">
        <f>'All_India_Index_Upto_April23 (1'!R201+'All_India_Index_Upto_April23 (1'!S201+'All_India_Index_Upto_April23 (1'!T201</f>
        <v>406.4</v>
      </c>
      <c r="H201">
        <f>'All_India_Index_Upto_April23 (1'!U201+'All_India_Index_Upto_April23 (1'!W201</f>
        <v>277.2</v>
      </c>
      <c r="I201">
        <v>128.1</v>
      </c>
      <c r="J201">
        <v>133.6</v>
      </c>
      <c r="K201">
        <v>120.1</v>
      </c>
      <c r="L201">
        <f>'All_India_Index_Upto_April23 (1'!Z201+'All_India_Index_Upto_April23 (1'!AA201+'All_India_Index_Upto_April23 (1'!AB201+'All_India_Index_Upto_April23 (1'!AC201+'All_India_Index_Upto_April23 (1'!AD201</f>
        <v>668.9</v>
      </c>
      <c r="M201">
        <f t="shared" si="33"/>
        <v>3666.7999999999997</v>
      </c>
      <c r="N201">
        <f t="shared" si="34"/>
        <v>40.454892549361851</v>
      </c>
      <c r="O201">
        <f t="shared" si="35"/>
        <v>7.8460783244245675</v>
      </c>
      <c r="P201">
        <f t="shared" si="36"/>
        <v>4.4016581215228543</v>
      </c>
      <c r="Q201">
        <f t="shared" si="37"/>
        <v>11.083233336969565</v>
      </c>
      <c r="R201">
        <f t="shared" si="38"/>
        <v>7.559725100905422</v>
      </c>
      <c r="S201">
        <f t="shared" si="39"/>
        <v>3.493509326933566</v>
      </c>
      <c r="T201">
        <f t="shared" si="40"/>
        <v>3.6435038725864519</v>
      </c>
      <c r="U201">
        <f t="shared" si="41"/>
        <v>3.2753354423475511</v>
      </c>
      <c r="V201">
        <f t="shared" si="42"/>
        <v>18.242063924948184</v>
      </c>
      <c r="W201">
        <f t="shared" si="43"/>
        <v>100.00000000000001</v>
      </c>
    </row>
    <row r="202" spans="1:23" x14ac:dyDescent="0.3">
      <c r="A202" t="s">
        <v>33</v>
      </c>
      <c r="B202">
        <v>2018</v>
      </c>
      <c r="C202" t="s">
        <v>39</v>
      </c>
      <c r="D202">
        <f>'All_India_Index_Upto_April23 (1'!D202+'All_India_Index_Upto_April23 (1'!G202+'All_India_Index_Upto_April23 (1'!H202+'All_India_Index_Upto_April23 (1'!I202+'All_India_Index_Upto_April23 (1'!J202+'All_India_Index_Upto_April23 (1'!K202+'All_India_Index_Upto_April23 (1'!L202+'All_India_Index_Upto_April23 (1'!M202+'All_India_Index_Upto_April23 (1'!N202+'All_India_Index_Upto_April23 (1'!O202+'All_India_Index_Upto_April23 (1'!P202</f>
        <v>1507</v>
      </c>
      <c r="E202">
        <f>'All_India_Index_Upto_April23 (1'!E202+'All_India_Index_Upto_April23 (1'!F202</f>
        <v>288.29999999999995</v>
      </c>
      <c r="F202">
        <v>157.5</v>
      </c>
      <c r="G202">
        <f>'All_India_Index_Upto_April23 (1'!R202+'All_India_Index_Upto_April23 (1'!S202+'All_India_Index_Upto_April23 (1'!T202</f>
        <v>430.80000000000007</v>
      </c>
      <c r="H202">
        <f>'All_India_Index_Upto_April23 (1'!U202+'All_India_Index_Upto_April23 (1'!W202</f>
        <v>282.2</v>
      </c>
      <c r="I202">
        <v>139.69999999999999</v>
      </c>
      <c r="J202">
        <v>137</v>
      </c>
      <c r="K202">
        <v>123.6</v>
      </c>
      <c r="L202">
        <f>'All_India_Index_Upto_April23 (1'!Z202+'All_India_Index_Upto_April23 (1'!AA202+'All_India_Index_Upto_April23 (1'!AB202+'All_India_Index_Upto_April23 (1'!AC202+'All_India_Index_Upto_April23 (1'!AD202</f>
        <v>680.89999999999986</v>
      </c>
      <c r="M202">
        <f t="shared" si="33"/>
        <v>3746.9999999999991</v>
      </c>
      <c r="N202">
        <f t="shared" si="34"/>
        <v>40.218841740058728</v>
      </c>
      <c r="O202">
        <f t="shared" si="35"/>
        <v>7.6941553242594081</v>
      </c>
      <c r="P202">
        <f t="shared" si="36"/>
        <v>4.2033626901521233</v>
      </c>
      <c r="Q202">
        <f t="shared" si="37"/>
        <v>11.497197758206571</v>
      </c>
      <c r="R202">
        <f t="shared" si="38"/>
        <v>7.5313584200693908</v>
      </c>
      <c r="S202">
        <f t="shared" si="39"/>
        <v>3.7283159861222317</v>
      </c>
      <c r="T202">
        <f t="shared" si="40"/>
        <v>3.6562583400053383</v>
      </c>
      <c r="U202">
        <f t="shared" si="41"/>
        <v>3.2986389111289038</v>
      </c>
      <c r="V202">
        <f t="shared" si="42"/>
        <v>18.171870829997331</v>
      </c>
      <c r="W202">
        <f t="shared" si="43"/>
        <v>100.00000000000003</v>
      </c>
    </row>
    <row r="203" spans="1:23" x14ac:dyDescent="0.3">
      <c r="A203" t="s">
        <v>30</v>
      </c>
      <c r="B203">
        <v>2018</v>
      </c>
      <c r="C203" t="s">
        <v>40</v>
      </c>
      <c r="D203">
        <f>'All_India_Index_Upto_April23 (1'!D203+'All_India_Index_Upto_April23 (1'!G203+'All_India_Index_Upto_April23 (1'!H203+'All_India_Index_Upto_April23 (1'!I203+'All_India_Index_Upto_April23 (1'!J203+'All_India_Index_Upto_April23 (1'!K203+'All_India_Index_Upto_April23 (1'!L203+'All_India_Index_Upto_April23 (1'!M203+'All_India_Index_Upto_April23 (1'!N203+'All_India_Index_Upto_April23 (1'!O203+'All_India_Index_Upto_April23 (1'!P203</f>
        <v>1530.9</v>
      </c>
      <c r="E203">
        <f>'All_India_Index_Upto_April23 (1'!E203+'All_India_Index_Upto_April23 (1'!F203</f>
        <v>287.89999999999998</v>
      </c>
      <c r="F203">
        <v>156.4</v>
      </c>
      <c r="G203">
        <f>'All_India_Index_Upto_April23 (1'!R203+'All_India_Index_Upto_April23 (1'!S203+'All_India_Index_Upto_April23 (1'!T203</f>
        <v>449.2</v>
      </c>
      <c r="H203">
        <f>'All_India_Index_Upto_April23 (1'!U203+'All_India_Index_Upto_April23 (1'!W203</f>
        <v>143.80000000000001</v>
      </c>
      <c r="I203">
        <v>147.69999999999999</v>
      </c>
      <c r="J203">
        <v>139.4</v>
      </c>
      <c r="K203">
        <v>128.30000000000001</v>
      </c>
      <c r="L203">
        <f>'All_India_Index_Upto_April23 (1'!Z203+'All_India_Index_Upto_April23 (1'!AA203+'All_India_Index_Upto_April23 (1'!AB203+'All_India_Index_Upto_April23 (1'!AC203+'All_India_Index_Upto_April23 (1'!AD203</f>
        <v>695.9</v>
      </c>
      <c r="M203">
        <f t="shared" si="33"/>
        <v>3679.5000000000005</v>
      </c>
      <c r="N203">
        <f t="shared" si="34"/>
        <v>41.60619649408887</v>
      </c>
      <c r="O203">
        <f t="shared" si="35"/>
        <v>7.824432667481994</v>
      </c>
      <c r="P203">
        <f t="shared" si="36"/>
        <v>4.2505775241201249</v>
      </c>
      <c r="Q203">
        <f t="shared" si="37"/>
        <v>12.208180459301534</v>
      </c>
      <c r="R203">
        <f t="shared" si="38"/>
        <v>3.9081396928930561</v>
      </c>
      <c r="S203">
        <f t="shared" si="39"/>
        <v>4.0141323549395294</v>
      </c>
      <c r="T203">
        <f t="shared" si="40"/>
        <v>3.7885582280201113</v>
      </c>
      <c r="U203">
        <f t="shared" si="41"/>
        <v>3.4868868052724551</v>
      </c>
      <c r="V203">
        <f t="shared" si="42"/>
        <v>18.912895773882319</v>
      </c>
      <c r="W203">
        <f t="shared" si="43"/>
        <v>100</v>
      </c>
    </row>
    <row r="204" spans="1:23" x14ac:dyDescent="0.3">
      <c r="A204" t="s">
        <v>32</v>
      </c>
      <c r="B204">
        <v>2018</v>
      </c>
      <c r="C204" t="s">
        <v>40</v>
      </c>
      <c r="D204">
        <f>'All_India_Index_Upto_April23 (1'!D204+'All_India_Index_Upto_April23 (1'!G204+'All_India_Index_Upto_April23 (1'!H204+'All_India_Index_Upto_April23 (1'!I204+'All_India_Index_Upto_April23 (1'!J204+'All_India_Index_Upto_April23 (1'!K204+'All_India_Index_Upto_April23 (1'!L204+'All_India_Index_Upto_April23 (1'!M204+'All_India_Index_Upto_April23 (1'!N204+'All_India_Index_Upto_April23 (1'!O204+'All_India_Index_Upto_April23 (1'!P204</f>
        <v>1484.6000000000001</v>
      </c>
      <c r="E204">
        <f>'All_India_Index_Upto_April23 (1'!E204+'All_India_Index_Upto_April23 (1'!F204</f>
        <v>283</v>
      </c>
      <c r="F204">
        <v>162.1</v>
      </c>
      <c r="G204">
        <f>'All_India_Index_Upto_April23 (1'!R204+'All_India_Index_Upto_April23 (1'!S204+'All_India_Index_Upto_April23 (1'!T204</f>
        <v>407.3</v>
      </c>
      <c r="H204">
        <f>'All_India_Index_Upto_April23 (1'!U204+'All_India_Index_Upto_April23 (1'!W204</f>
        <v>279</v>
      </c>
      <c r="I204">
        <v>129.80000000000001</v>
      </c>
      <c r="J204">
        <v>134.9</v>
      </c>
      <c r="K204">
        <v>120.7</v>
      </c>
      <c r="L204">
        <f>'All_India_Index_Upto_April23 (1'!Z204+'All_India_Index_Upto_April23 (1'!AA204+'All_India_Index_Upto_April23 (1'!AB204+'All_India_Index_Upto_April23 (1'!AC204+'All_India_Index_Upto_April23 (1'!AD204</f>
        <v>672.40000000000009</v>
      </c>
      <c r="M204">
        <f t="shared" si="33"/>
        <v>3673.8</v>
      </c>
      <c r="N204">
        <f t="shared" si="34"/>
        <v>40.410474168435954</v>
      </c>
      <c r="O204">
        <f t="shared" si="35"/>
        <v>7.703195601284774</v>
      </c>
      <c r="P204">
        <f t="shared" si="36"/>
        <v>4.4123251129620549</v>
      </c>
      <c r="Q204">
        <f t="shared" si="37"/>
        <v>11.086613315912679</v>
      </c>
      <c r="R204">
        <f t="shared" si="38"/>
        <v>7.5943165115139628</v>
      </c>
      <c r="S204">
        <f t="shared" si="39"/>
        <v>3.5331264630627688</v>
      </c>
      <c r="T204">
        <f t="shared" si="40"/>
        <v>3.6719473025205507</v>
      </c>
      <c r="U204">
        <f t="shared" si="41"/>
        <v>3.285426533834177</v>
      </c>
      <c r="V204">
        <f t="shared" si="42"/>
        <v>18.302574990473079</v>
      </c>
      <c r="W204">
        <f t="shared" si="43"/>
        <v>100</v>
      </c>
    </row>
    <row r="205" spans="1:23" x14ac:dyDescent="0.3">
      <c r="A205" t="s">
        <v>33</v>
      </c>
      <c r="B205">
        <v>2018</v>
      </c>
      <c r="C205" t="s">
        <v>40</v>
      </c>
      <c r="D205">
        <f>'All_India_Index_Upto_April23 (1'!D205+'All_India_Index_Upto_April23 (1'!G205+'All_India_Index_Upto_April23 (1'!H205+'All_India_Index_Upto_April23 (1'!I205+'All_India_Index_Upto_April23 (1'!J205+'All_India_Index_Upto_April23 (1'!K205+'All_India_Index_Upto_April23 (1'!L205+'All_India_Index_Upto_April23 (1'!M205+'All_India_Index_Upto_April23 (1'!N205+'All_India_Index_Upto_April23 (1'!O205+'All_India_Index_Upto_April23 (1'!P205</f>
        <v>1512.6</v>
      </c>
      <c r="E205">
        <f>'All_India_Index_Upto_April23 (1'!E205+'All_India_Index_Upto_April23 (1'!F205</f>
        <v>286.10000000000002</v>
      </c>
      <c r="F205">
        <v>157.9</v>
      </c>
      <c r="G205">
        <f>'All_India_Index_Upto_April23 (1'!R205+'All_India_Index_Upto_April23 (1'!S205+'All_India_Index_Upto_April23 (1'!T205</f>
        <v>432.20000000000005</v>
      </c>
      <c r="H205">
        <f>'All_India_Index_Upto_April23 (1'!U205+'All_India_Index_Upto_April23 (1'!W205</f>
        <v>284</v>
      </c>
      <c r="I205">
        <v>140.9</v>
      </c>
      <c r="J205">
        <v>137.69999999999999</v>
      </c>
      <c r="K205">
        <v>124.3</v>
      </c>
      <c r="L205">
        <f>'All_India_Index_Upto_April23 (1'!Z205+'All_India_Index_Upto_April23 (1'!AA205+'All_India_Index_Upto_April23 (1'!AB205+'All_India_Index_Upto_April23 (1'!AC205+'All_India_Index_Upto_April23 (1'!AD205</f>
        <v>684</v>
      </c>
      <c r="M205">
        <f t="shared" si="33"/>
        <v>3759.7000000000003</v>
      </c>
      <c r="N205">
        <f t="shared" si="34"/>
        <v>40.231933398941401</v>
      </c>
      <c r="O205">
        <f t="shared" si="35"/>
        <v>7.6096497060935713</v>
      </c>
      <c r="P205">
        <f t="shared" si="36"/>
        <v>4.199803175785302</v>
      </c>
      <c r="Q205">
        <f t="shared" si="37"/>
        <v>11.495598053036145</v>
      </c>
      <c r="R205">
        <f t="shared" si="38"/>
        <v>7.5537941857063053</v>
      </c>
      <c r="S205">
        <f t="shared" si="39"/>
        <v>3.7476394393169667</v>
      </c>
      <c r="T205">
        <f t="shared" si="40"/>
        <v>3.6625262653935149</v>
      </c>
      <c r="U205">
        <f t="shared" si="41"/>
        <v>3.3061148495890627</v>
      </c>
      <c r="V205">
        <f t="shared" si="42"/>
        <v>18.19294092613772</v>
      </c>
      <c r="W205">
        <f t="shared" si="43"/>
        <v>100</v>
      </c>
    </row>
    <row r="206" spans="1:23" x14ac:dyDescent="0.3">
      <c r="A206" t="s">
        <v>30</v>
      </c>
      <c r="B206">
        <v>2018</v>
      </c>
      <c r="C206" t="s">
        <v>41</v>
      </c>
      <c r="D206">
        <f>'All_India_Index_Upto_April23 (1'!D206+'All_India_Index_Upto_April23 (1'!G206+'All_India_Index_Upto_April23 (1'!H206+'All_India_Index_Upto_April23 (1'!I206+'All_India_Index_Upto_April23 (1'!J206+'All_India_Index_Upto_April23 (1'!K206+'All_India_Index_Upto_April23 (1'!L206+'All_India_Index_Upto_April23 (1'!M206+'All_India_Index_Upto_April23 (1'!N206+'All_India_Index_Upto_April23 (1'!O206+'All_India_Index_Upto_April23 (1'!P206</f>
        <v>1516</v>
      </c>
      <c r="E206">
        <f>'All_India_Index_Upto_April23 (1'!E206+'All_India_Index_Upto_April23 (1'!F206</f>
        <v>283.79999999999995</v>
      </c>
      <c r="F206">
        <v>157.69999999999999</v>
      </c>
      <c r="G206">
        <f>'All_India_Index_Upto_April23 (1'!R206+'All_India_Index_Upto_April23 (1'!S206+'All_India_Index_Upto_April23 (1'!T206</f>
        <v>449.5</v>
      </c>
      <c r="H206">
        <f>'All_India_Index_Upto_April23 (1'!U206+'All_India_Index_Upto_April23 (1'!W206</f>
        <v>144</v>
      </c>
      <c r="I206">
        <v>149</v>
      </c>
      <c r="J206">
        <v>140</v>
      </c>
      <c r="K206">
        <v>129.9</v>
      </c>
      <c r="L206">
        <f>'All_India_Index_Upto_April23 (1'!Z206+'All_India_Index_Upto_April23 (1'!AA206+'All_India_Index_Upto_April23 (1'!AB206+'All_India_Index_Upto_April23 (1'!AC206+'All_India_Index_Upto_April23 (1'!AD206</f>
        <v>699.1</v>
      </c>
      <c r="M206">
        <f t="shared" si="33"/>
        <v>3669</v>
      </c>
      <c r="N206">
        <f t="shared" si="34"/>
        <v>41.319160534205508</v>
      </c>
      <c r="O206">
        <f t="shared" si="35"/>
        <v>7.7350776778413719</v>
      </c>
      <c r="P206">
        <f t="shared" si="36"/>
        <v>4.2981738893431451</v>
      </c>
      <c r="Q206">
        <f t="shared" si="37"/>
        <v>12.251294630689562</v>
      </c>
      <c r="R206">
        <f t="shared" si="38"/>
        <v>3.9247751430907605</v>
      </c>
      <c r="S206">
        <f t="shared" si="39"/>
        <v>4.0610520577814118</v>
      </c>
      <c r="T206">
        <f t="shared" si="40"/>
        <v>3.8157536113382391</v>
      </c>
      <c r="U206">
        <f t="shared" si="41"/>
        <v>3.5404742436631236</v>
      </c>
      <c r="V206">
        <f t="shared" si="42"/>
        <v>19.054238212046883</v>
      </c>
      <c r="W206">
        <f t="shared" si="43"/>
        <v>100</v>
      </c>
    </row>
    <row r="207" spans="1:23" x14ac:dyDescent="0.3">
      <c r="A207" t="s">
        <v>32</v>
      </c>
      <c r="B207">
        <v>2018</v>
      </c>
      <c r="C207" t="s">
        <v>41</v>
      </c>
      <c r="D207">
        <f>'All_India_Index_Upto_April23 (1'!D207+'All_India_Index_Upto_April23 (1'!G207+'All_India_Index_Upto_April23 (1'!H207+'All_India_Index_Upto_April23 (1'!I207+'All_India_Index_Upto_April23 (1'!J207+'All_India_Index_Upto_April23 (1'!K207+'All_India_Index_Upto_April23 (1'!L207+'All_India_Index_Upto_April23 (1'!M207+'All_India_Index_Upto_April23 (1'!N207+'All_India_Index_Upto_April23 (1'!O207+'All_India_Index_Upto_April23 (1'!P207</f>
        <v>1472.5</v>
      </c>
      <c r="E207">
        <f>'All_India_Index_Upto_April23 (1'!E207+'All_India_Index_Upto_April23 (1'!F207</f>
        <v>275.89999999999998</v>
      </c>
      <c r="F207">
        <v>163.30000000000001</v>
      </c>
      <c r="G207">
        <f>'All_India_Index_Upto_April23 (1'!R207+'All_India_Index_Upto_April23 (1'!S207+'All_India_Index_Upto_April23 (1'!T207</f>
        <v>409.20000000000005</v>
      </c>
      <c r="H207">
        <f>'All_India_Index_Upto_April23 (1'!U207+'All_India_Index_Upto_April23 (1'!W207</f>
        <v>280.20000000000005</v>
      </c>
      <c r="I207">
        <v>131.19999999999999</v>
      </c>
      <c r="J207">
        <v>135.69999999999999</v>
      </c>
      <c r="K207">
        <v>122.5</v>
      </c>
      <c r="L207">
        <f>'All_India_Index_Upto_April23 (1'!Z207+'All_India_Index_Upto_April23 (1'!AA207+'All_India_Index_Upto_April23 (1'!AB207+'All_India_Index_Upto_April23 (1'!AC207+'All_India_Index_Upto_April23 (1'!AD207</f>
        <v>674.7</v>
      </c>
      <c r="M207">
        <f t="shared" si="33"/>
        <v>3665.2</v>
      </c>
      <c r="N207">
        <f t="shared" si="34"/>
        <v>40.175160973480303</v>
      </c>
      <c r="O207">
        <f t="shared" si="35"/>
        <v>7.5275564771363088</v>
      </c>
      <c r="P207">
        <f t="shared" si="36"/>
        <v>4.4554185310487844</v>
      </c>
      <c r="Q207">
        <f t="shared" si="37"/>
        <v>11.164465786314528</v>
      </c>
      <c r="R207">
        <f t="shared" si="38"/>
        <v>7.6448761322710919</v>
      </c>
      <c r="S207">
        <f t="shared" si="39"/>
        <v>3.5796136636472768</v>
      </c>
      <c r="T207">
        <f t="shared" si="40"/>
        <v>3.7023900469278623</v>
      </c>
      <c r="U207">
        <f t="shared" si="41"/>
        <v>3.3422459893048129</v>
      </c>
      <c r="V207">
        <f t="shared" si="42"/>
        <v>18.408272399869041</v>
      </c>
      <c r="W207">
        <f t="shared" si="43"/>
        <v>100</v>
      </c>
    </row>
    <row r="208" spans="1:23" x14ac:dyDescent="0.3">
      <c r="A208" t="s">
        <v>33</v>
      </c>
      <c r="B208">
        <v>2018</v>
      </c>
      <c r="C208" t="s">
        <v>41</v>
      </c>
      <c r="D208">
        <f>'All_India_Index_Upto_April23 (1'!D208+'All_India_Index_Upto_April23 (1'!G208+'All_India_Index_Upto_April23 (1'!H208+'All_India_Index_Upto_April23 (1'!I208+'All_India_Index_Upto_April23 (1'!J208+'All_India_Index_Upto_April23 (1'!K208+'All_India_Index_Upto_April23 (1'!L208+'All_India_Index_Upto_April23 (1'!M208+'All_India_Index_Upto_April23 (1'!N208+'All_India_Index_Upto_April23 (1'!O208+'All_India_Index_Upto_April23 (1'!P208</f>
        <v>1498.6</v>
      </c>
      <c r="E208">
        <f>'All_India_Index_Upto_April23 (1'!E208+'All_India_Index_Upto_April23 (1'!F208</f>
        <v>280.89999999999998</v>
      </c>
      <c r="F208">
        <v>159.19999999999999</v>
      </c>
      <c r="G208">
        <f>'All_India_Index_Upto_April23 (1'!R208+'All_India_Index_Upto_April23 (1'!S208+'All_India_Index_Upto_April23 (1'!T208</f>
        <v>433.29999999999995</v>
      </c>
      <c r="H208">
        <f>'All_India_Index_Upto_April23 (1'!U208+'All_India_Index_Upto_April23 (1'!W208</f>
        <v>285</v>
      </c>
      <c r="I208">
        <v>142.30000000000001</v>
      </c>
      <c r="J208">
        <v>138.4</v>
      </c>
      <c r="K208">
        <v>126</v>
      </c>
      <c r="L208">
        <f>'All_India_Index_Upto_April23 (1'!Z208+'All_India_Index_Upto_April23 (1'!AA208+'All_India_Index_Upto_April23 (1'!AB208+'All_India_Index_Upto_April23 (1'!AC208+'All_India_Index_Upto_April23 (1'!AD208</f>
        <v>686.5</v>
      </c>
      <c r="M208">
        <f t="shared" si="33"/>
        <v>3750.2000000000003</v>
      </c>
      <c r="N208">
        <f t="shared" si="34"/>
        <v>39.960535438109964</v>
      </c>
      <c r="O208">
        <f t="shared" si="35"/>
        <v>7.490267185750092</v>
      </c>
      <c r="P208">
        <f t="shared" si="36"/>
        <v>4.245106927630526</v>
      </c>
      <c r="Q208">
        <f t="shared" si="37"/>
        <v>11.554050450642631</v>
      </c>
      <c r="R208">
        <f t="shared" si="38"/>
        <v>7.5995946882832914</v>
      </c>
      <c r="S208">
        <f t="shared" si="39"/>
        <v>3.7944642952375873</v>
      </c>
      <c r="T208">
        <f t="shared" si="40"/>
        <v>3.6904698416084472</v>
      </c>
      <c r="U208">
        <f t="shared" si="41"/>
        <v>3.3598208095568229</v>
      </c>
      <c r="V208">
        <f t="shared" si="42"/>
        <v>18.305690363180631</v>
      </c>
      <c r="W208">
        <f t="shared" si="43"/>
        <v>99.999999999999986</v>
      </c>
    </row>
    <row r="209" spans="1:23" x14ac:dyDescent="0.3">
      <c r="A209" t="s">
        <v>30</v>
      </c>
      <c r="B209">
        <v>2018</v>
      </c>
      <c r="C209" t="s">
        <v>42</v>
      </c>
      <c r="D209">
        <f>'All_India_Index_Upto_April23 (1'!D209+'All_India_Index_Upto_April23 (1'!G209+'All_India_Index_Upto_April23 (1'!H209+'All_India_Index_Upto_April23 (1'!I209+'All_India_Index_Upto_April23 (1'!J209+'All_India_Index_Upto_April23 (1'!K209+'All_India_Index_Upto_April23 (1'!L209+'All_India_Index_Upto_April23 (1'!M209+'All_India_Index_Upto_April23 (1'!N209+'All_India_Index_Upto_April23 (1'!O209+'All_India_Index_Upto_April23 (1'!P209</f>
        <v>1500</v>
      </c>
      <c r="E209">
        <f>'All_India_Index_Upto_April23 (1'!E209+'All_India_Index_Upto_April23 (1'!F209</f>
        <v>282.2</v>
      </c>
      <c r="F209">
        <v>159.6</v>
      </c>
      <c r="G209">
        <f>'All_India_Index_Upto_April23 (1'!R209+'All_India_Index_Upto_April23 (1'!S209+'All_India_Index_Upto_April23 (1'!T209</f>
        <v>445</v>
      </c>
      <c r="H209">
        <f>'All_India_Index_Upto_April23 (1'!U209+'All_India_Index_Upto_April23 (1'!W209</f>
        <v>147.5</v>
      </c>
      <c r="I209">
        <v>149.69999999999999</v>
      </c>
      <c r="J209">
        <v>144.80000000000001</v>
      </c>
      <c r="K209">
        <v>130.80000000000001</v>
      </c>
      <c r="L209">
        <f>'All_India_Index_Upto_April23 (1'!Z209+'All_India_Index_Upto_April23 (1'!AA209+'All_India_Index_Upto_April23 (1'!AB209+'All_India_Index_Upto_April23 (1'!AC209+'All_India_Index_Upto_April23 (1'!AD209</f>
        <v>704.5</v>
      </c>
      <c r="M209">
        <f t="shared" si="33"/>
        <v>3664.1000000000004</v>
      </c>
      <c r="N209">
        <f t="shared" si="34"/>
        <v>40.937747332223459</v>
      </c>
      <c r="O209">
        <f t="shared" si="35"/>
        <v>7.701754864768974</v>
      </c>
      <c r="P209">
        <f t="shared" si="36"/>
        <v>4.3557763161485763</v>
      </c>
      <c r="Q209">
        <f t="shared" si="37"/>
        <v>12.14486504189296</v>
      </c>
      <c r="R209">
        <f t="shared" si="38"/>
        <v>4.0255451543353065</v>
      </c>
      <c r="S209">
        <f t="shared" si="39"/>
        <v>4.0855871837559015</v>
      </c>
      <c r="T209">
        <f t="shared" si="40"/>
        <v>3.9518572091373052</v>
      </c>
      <c r="U209">
        <f t="shared" si="41"/>
        <v>3.569771567369886</v>
      </c>
      <c r="V209">
        <f t="shared" si="42"/>
        <v>19.227095330367618</v>
      </c>
      <c r="W209">
        <f t="shared" si="43"/>
        <v>99.999999999999986</v>
      </c>
    </row>
    <row r="210" spans="1:23" x14ac:dyDescent="0.3">
      <c r="A210" t="s">
        <v>32</v>
      </c>
      <c r="B210">
        <v>2018</v>
      </c>
      <c r="C210" t="s">
        <v>42</v>
      </c>
      <c r="D210">
        <f>'All_India_Index_Upto_April23 (1'!D210+'All_India_Index_Upto_April23 (1'!G210+'All_India_Index_Upto_April23 (1'!H210+'All_India_Index_Upto_April23 (1'!I210+'All_India_Index_Upto_April23 (1'!J210+'All_India_Index_Upto_April23 (1'!K210+'All_India_Index_Upto_April23 (1'!L210+'All_India_Index_Upto_April23 (1'!M210+'All_India_Index_Upto_April23 (1'!N210+'All_India_Index_Upto_April23 (1'!O210+'All_India_Index_Upto_April23 (1'!P210</f>
        <v>1475.7</v>
      </c>
      <c r="E210">
        <f>'All_India_Index_Upto_April23 (1'!E210+'All_India_Index_Upto_April23 (1'!F210</f>
        <v>278.39999999999998</v>
      </c>
      <c r="F210">
        <v>164</v>
      </c>
      <c r="G210">
        <f>'All_India_Index_Upto_April23 (1'!R210+'All_India_Index_Upto_April23 (1'!S210+'All_India_Index_Upto_April23 (1'!T210</f>
        <v>411</v>
      </c>
      <c r="H210">
        <f>'All_India_Index_Upto_April23 (1'!U210+'All_India_Index_Upto_April23 (1'!W210</f>
        <v>281.39999999999998</v>
      </c>
      <c r="I210">
        <v>133.4</v>
      </c>
      <c r="J210">
        <v>136.19999999999999</v>
      </c>
      <c r="K210">
        <v>123.3</v>
      </c>
      <c r="L210">
        <f>'All_India_Index_Upto_April23 (1'!Z210+'All_India_Index_Upto_April23 (1'!AA210+'All_India_Index_Upto_April23 (1'!AB210+'All_India_Index_Upto_April23 (1'!AC210+'All_India_Index_Upto_April23 (1'!AD210</f>
        <v>678</v>
      </c>
      <c r="M210">
        <f t="shared" si="33"/>
        <v>3681.4</v>
      </c>
      <c r="N210">
        <f t="shared" si="34"/>
        <v>40.085293638289784</v>
      </c>
      <c r="O210">
        <f t="shared" si="35"/>
        <v>7.5623404139729438</v>
      </c>
      <c r="P210">
        <f t="shared" si="36"/>
        <v>4.4548269680013037</v>
      </c>
      <c r="Q210">
        <f t="shared" si="37"/>
        <v>11.164230999076437</v>
      </c>
      <c r="R210">
        <f t="shared" si="38"/>
        <v>7.6438311511924804</v>
      </c>
      <c r="S210">
        <f t="shared" si="39"/>
        <v>3.6236214483620364</v>
      </c>
      <c r="T210">
        <f t="shared" si="40"/>
        <v>3.6996794697669357</v>
      </c>
      <c r="U210">
        <f t="shared" si="41"/>
        <v>3.349269299722931</v>
      </c>
      <c r="V210">
        <f t="shared" si="42"/>
        <v>18.416906611615147</v>
      </c>
      <c r="W210">
        <f t="shared" si="43"/>
        <v>100</v>
      </c>
    </row>
    <row r="211" spans="1:23" x14ac:dyDescent="0.3">
      <c r="A211" t="s">
        <v>33</v>
      </c>
      <c r="B211">
        <v>2018</v>
      </c>
      <c r="C211" t="s">
        <v>42</v>
      </c>
      <c r="D211">
        <f>'All_India_Index_Upto_April23 (1'!D211+'All_India_Index_Upto_April23 (1'!G211+'All_India_Index_Upto_April23 (1'!H211+'All_India_Index_Upto_April23 (1'!I211+'All_India_Index_Upto_April23 (1'!J211+'All_India_Index_Upto_April23 (1'!K211+'All_India_Index_Upto_April23 (1'!L211+'All_India_Index_Upto_April23 (1'!M211+'All_India_Index_Upto_April23 (1'!N211+'All_India_Index_Upto_April23 (1'!O211+'All_India_Index_Upto_April23 (1'!P211</f>
        <v>1489.3999999999999</v>
      </c>
      <c r="E211">
        <f>'All_India_Index_Upto_April23 (1'!E211+'All_India_Index_Upto_April23 (1'!F211</f>
        <v>286.8</v>
      </c>
      <c r="F211">
        <v>162.6</v>
      </c>
      <c r="G211">
        <f>'All_India_Index_Upto_April23 (1'!R211+'All_India_Index_Upto_April23 (1'!S211+'All_India_Index_Upto_April23 (1'!T211</f>
        <v>434</v>
      </c>
      <c r="H211">
        <f>'All_India_Index_Upto_April23 (1'!U211+'All_India_Index_Upto_April23 (1'!W211</f>
        <v>289.10000000000002</v>
      </c>
      <c r="I211">
        <v>145.30000000000001</v>
      </c>
      <c r="J211">
        <v>142.1</v>
      </c>
      <c r="K211">
        <v>125.5</v>
      </c>
      <c r="L211">
        <f>'All_India_Index_Upto_April23 (1'!Z211+'All_India_Index_Upto_April23 (1'!AA211+'All_India_Index_Upto_April23 (1'!AB211+'All_India_Index_Upto_April23 (1'!AC211+'All_India_Index_Upto_April23 (1'!AD211</f>
        <v>693.40000000000009</v>
      </c>
      <c r="M211">
        <f t="shared" si="33"/>
        <v>3768.2</v>
      </c>
      <c r="N211">
        <f t="shared" si="34"/>
        <v>39.525502892627777</v>
      </c>
      <c r="O211">
        <f t="shared" si="35"/>
        <v>7.6110609840242036</v>
      </c>
      <c r="P211">
        <f t="shared" si="36"/>
        <v>4.3150575871769012</v>
      </c>
      <c r="Q211">
        <f t="shared" si="37"/>
        <v>11.517435380287672</v>
      </c>
      <c r="R211">
        <f t="shared" si="38"/>
        <v>7.6720980839658202</v>
      </c>
      <c r="S211">
        <f t="shared" si="39"/>
        <v>3.855952444137785</v>
      </c>
      <c r="T211">
        <f t="shared" si="40"/>
        <v>3.7710312616103177</v>
      </c>
      <c r="U211">
        <f t="shared" si="41"/>
        <v>3.3305026272490843</v>
      </c>
      <c r="V211">
        <f t="shared" si="42"/>
        <v>18.401358738920443</v>
      </c>
      <c r="W211">
        <f t="shared" si="43"/>
        <v>100</v>
      </c>
    </row>
    <row r="212" spans="1:23" x14ac:dyDescent="0.3">
      <c r="A212" t="s">
        <v>30</v>
      </c>
      <c r="B212">
        <v>2018</v>
      </c>
      <c r="C212" t="s">
        <v>44</v>
      </c>
      <c r="D212">
        <f>'All_India_Index_Upto_April23 (1'!D212+'All_India_Index_Upto_April23 (1'!G212+'All_India_Index_Upto_April23 (1'!H212+'All_India_Index_Upto_April23 (1'!I212+'All_India_Index_Upto_April23 (1'!J212+'All_India_Index_Upto_April23 (1'!K212+'All_India_Index_Upto_April23 (1'!L212+'All_India_Index_Upto_April23 (1'!M212+'All_India_Index_Upto_April23 (1'!N212+'All_India_Index_Upto_April23 (1'!O212+'All_India_Index_Upto_April23 (1'!P212</f>
        <v>1500</v>
      </c>
      <c r="E212">
        <f>'All_India_Index_Upto_April23 (1'!E212+'All_India_Index_Upto_April23 (1'!F212</f>
        <v>287.5</v>
      </c>
      <c r="F212">
        <v>161.9</v>
      </c>
      <c r="G212">
        <f>'All_India_Index_Upto_April23 (1'!R212+'All_India_Index_Upto_April23 (1'!S212+'All_India_Index_Upto_April23 (1'!T212</f>
        <v>448</v>
      </c>
      <c r="H212">
        <f>'All_India_Index_Upto_April23 (1'!U212+'All_India_Index_Upto_April23 (1'!W212</f>
        <v>148</v>
      </c>
      <c r="I212">
        <v>150.30000000000001</v>
      </c>
      <c r="J212">
        <v>145.4</v>
      </c>
      <c r="K212">
        <v>130.30000000000001</v>
      </c>
      <c r="L212">
        <f>'All_India_Index_Upto_April23 (1'!Z212+'All_India_Index_Upto_April23 (1'!AA212+'All_India_Index_Upto_April23 (1'!AB212+'All_India_Index_Upto_April23 (1'!AC212+'All_India_Index_Upto_April23 (1'!AD212</f>
        <v>708.9</v>
      </c>
      <c r="M212">
        <f t="shared" si="33"/>
        <v>3680.3000000000006</v>
      </c>
      <c r="N212">
        <f t="shared" si="34"/>
        <v>40.757546939108217</v>
      </c>
      <c r="O212">
        <f t="shared" si="35"/>
        <v>7.8118631633290745</v>
      </c>
      <c r="P212">
        <f t="shared" si="36"/>
        <v>4.3990978996277468</v>
      </c>
      <c r="Q212">
        <f t="shared" si="37"/>
        <v>12.172920685813654</v>
      </c>
      <c r="R212">
        <f t="shared" si="38"/>
        <v>4.0214112979920102</v>
      </c>
      <c r="S212">
        <f t="shared" si="39"/>
        <v>4.0839062032986435</v>
      </c>
      <c r="T212">
        <f t="shared" si="40"/>
        <v>3.9507648832975568</v>
      </c>
      <c r="U212">
        <f t="shared" si="41"/>
        <v>3.5404722441105339</v>
      </c>
      <c r="V212">
        <f t="shared" si="42"/>
        <v>19.262016683422541</v>
      </c>
      <c r="W212">
        <f t="shared" si="43"/>
        <v>99.999999999999972</v>
      </c>
    </row>
    <row r="213" spans="1:23" x14ac:dyDescent="0.3">
      <c r="A213" t="s">
        <v>32</v>
      </c>
      <c r="B213">
        <v>2018</v>
      </c>
      <c r="C213" t="s">
        <v>44</v>
      </c>
      <c r="D213">
        <f>'All_India_Index_Upto_April23 (1'!D213+'All_India_Index_Upto_April23 (1'!G213+'All_India_Index_Upto_April23 (1'!H213+'All_India_Index_Upto_April23 (1'!I213+'All_India_Index_Upto_April23 (1'!J213+'All_India_Index_Upto_April23 (1'!K213+'All_India_Index_Upto_April23 (1'!L213+'All_India_Index_Upto_April23 (1'!M213+'All_India_Index_Upto_April23 (1'!N213+'All_India_Index_Upto_April23 (1'!O213+'All_India_Index_Upto_April23 (1'!P213</f>
        <v>1473.3999999999999</v>
      </c>
      <c r="E213">
        <f>'All_India_Index_Upto_April23 (1'!E213+'All_India_Index_Upto_April23 (1'!F213</f>
        <v>284.10000000000002</v>
      </c>
      <c r="F213">
        <v>164.4</v>
      </c>
      <c r="G213">
        <f>'All_India_Index_Upto_April23 (1'!R213+'All_India_Index_Upto_April23 (1'!S213+'All_India_Index_Upto_April23 (1'!T213</f>
        <v>413.1</v>
      </c>
      <c r="H213">
        <f>'All_India_Index_Upto_April23 (1'!U213+'All_India_Index_Upto_April23 (1'!W213</f>
        <v>282.70000000000005</v>
      </c>
      <c r="I213">
        <v>136.69999999999999</v>
      </c>
      <c r="J213">
        <v>136.80000000000001</v>
      </c>
      <c r="K213">
        <v>121.2</v>
      </c>
      <c r="L213">
        <f>'All_India_Index_Upto_April23 (1'!Z213+'All_India_Index_Upto_April23 (1'!AA213+'All_India_Index_Upto_April23 (1'!AB213+'All_India_Index_Upto_April23 (1'!AC213+'All_India_Index_Upto_April23 (1'!AD213</f>
        <v>679.09999999999991</v>
      </c>
      <c r="M213">
        <f t="shared" si="33"/>
        <v>3691.4999999999995</v>
      </c>
      <c r="N213">
        <f t="shared" si="34"/>
        <v>39.913314370851957</v>
      </c>
      <c r="O213">
        <f t="shared" si="35"/>
        <v>7.6960585127996763</v>
      </c>
      <c r="P213">
        <f t="shared" si="36"/>
        <v>4.4534741974806993</v>
      </c>
      <c r="Q213">
        <f t="shared" si="37"/>
        <v>11.190572937830153</v>
      </c>
      <c r="R213">
        <f t="shared" si="38"/>
        <v>7.6581335500474079</v>
      </c>
      <c r="S213">
        <f t="shared" si="39"/>
        <v>3.7031017201679535</v>
      </c>
      <c r="T213">
        <f t="shared" si="40"/>
        <v>3.7058106460788305</v>
      </c>
      <c r="U213">
        <f t="shared" si="41"/>
        <v>3.2832182039821216</v>
      </c>
      <c r="V213">
        <f t="shared" si="42"/>
        <v>18.396315860761209</v>
      </c>
      <c r="W213">
        <f t="shared" si="43"/>
        <v>100</v>
      </c>
    </row>
    <row r="214" spans="1:23" x14ac:dyDescent="0.3">
      <c r="A214" t="s">
        <v>33</v>
      </c>
      <c r="B214">
        <v>2018</v>
      </c>
      <c r="C214" t="s">
        <v>44</v>
      </c>
      <c r="D214">
        <f>'All_India_Index_Upto_April23 (1'!D214+'All_India_Index_Upto_April23 (1'!G214+'All_India_Index_Upto_April23 (1'!H214+'All_India_Index_Upto_April23 (1'!I214+'All_India_Index_Upto_April23 (1'!J214+'All_India_Index_Upto_April23 (1'!K214+'All_India_Index_Upto_April23 (1'!L214+'All_India_Index_Upto_April23 (1'!M214+'All_India_Index_Upto_April23 (1'!N214+'All_India_Index_Upto_April23 (1'!O214+'All_India_Index_Upto_April23 (1'!P214</f>
        <v>1489.4000000000003</v>
      </c>
      <c r="E214">
        <f>'All_India_Index_Upto_April23 (1'!E214+'All_India_Index_Upto_April23 (1'!F214</f>
        <v>286.29999999999995</v>
      </c>
      <c r="F214">
        <v>162.6</v>
      </c>
      <c r="G214">
        <f>'All_India_Index_Upto_April23 (1'!R214+'All_India_Index_Upto_April23 (1'!S214+'All_India_Index_Upto_April23 (1'!T214</f>
        <v>433.8</v>
      </c>
      <c r="H214">
        <f>'All_India_Index_Upto_April23 (1'!U214+'All_India_Index_Upto_April23 (1'!W214</f>
        <v>289.10000000000002</v>
      </c>
      <c r="I214">
        <v>145.1</v>
      </c>
      <c r="J214">
        <v>142.1</v>
      </c>
      <c r="K214">
        <v>125.5</v>
      </c>
      <c r="L214">
        <f>'All_India_Index_Upto_April23 (1'!Z214+'All_India_Index_Upto_April23 (1'!AA214+'All_India_Index_Upto_April23 (1'!AB214+'All_India_Index_Upto_April23 (1'!AC214+'All_India_Index_Upto_April23 (1'!AD214</f>
        <v>693.40000000000009</v>
      </c>
      <c r="M214">
        <f t="shared" si="33"/>
        <v>3767.3</v>
      </c>
      <c r="N214">
        <f t="shared" si="34"/>
        <v>39.534945451649726</v>
      </c>
      <c r="O214">
        <f t="shared" si="35"/>
        <v>7.5996071457011638</v>
      </c>
      <c r="P214">
        <f t="shared" si="36"/>
        <v>4.3160884453056561</v>
      </c>
      <c r="Q214">
        <f t="shared" si="37"/>
        <v>11.514878029357895</v>
      </c>
      <c r="R214">
        <f t="shared" si="38"/>
        <v>7.6739309319671918</v>
      </c>
      <c r="S214">
        <f t="shared" si="39"/>
        <v>3.8515647811429932</v>
      </c>
      <c r="T214">
        <f t="shared" si="40"/>
        <v>3.7719321530008223</v>
      </c>
      <c r="U214">
        <f t="shared" si="41"/>
        <v>3.3312982772808106</v>
      </c>
      <c r="V214">
        <f t="shared" si="42"/>
        <v>18.405754784593743</v>
      </c>
      <c r="W214">
        <f t="shared" si="43"/>
        <v>100</v>
      </c>
    </row>
    <row r="215" spans="1:23" x14ac:dyDescent="0.3">
      <c r="A215" t="s">
        <v>30</v>
      </c>
      <c r="B215">
        <v>2018</v>
      </c>
      <c r="C215" t="s">
        <v>45</v>
      </c>
      <c r="D215">
        <f>'All_India_Index_Upto_April23 (1'!D215+'All_India_Index_Upto_April23 (1'!G215+'All_India_Index_Upto_April23 (1'!H215+'All_India_Index_Upto_April23 (1'!I215+'All_India_Index_Upto_April23 (1'!J215+'All_India_Index_Upto_April23 (1'!K215+'All_India_Index_Upto_April23 (1'!L215+'All_India_Index_Upto_April23 (1'!M215+'All_India_Index_Upto_April23 (1'!N215+'All_India_Index_Upto_April23 (1'!O215+'All_India_Index_Upto_April23 (1'!P215</f>
        <v>1483.8</v>
      </c>
      <c r="E215">
        <f>'All_India_Index_Upto_April23 (1'!E215+'All_India_Index_Upto_April23 (1'!F215</f>
        <v>289.3</v>
      </c>
      <c r="F215">
        <v>162.4</v>
      </c>
      <c r="G215">
        <f>'All_India_Index_Upto_April23 (1'!R215+'All_India_Index_Upto_April23 (1'!S215+'All_India_Index_Upto_April23 (1'!T215</f>
        <v>448.3</v>
      </c>
      <c r="H215">
        <f>'All_India_Index_Upto_April23 (1'!U215+'All_India_Index_Upto_April23 (1'!W215</f>
        <v>149.5</v>
      </c>
      <c r="I215">
        <v>149</v>
      </c>
      <c r="J215">
        <v>149.6</v>
      </c>
      <c r="K215">
        <v>128.9</v>
      </c>
      <c r="L215">
        <f>'All_India_Index_Upto_April23 (1'!Z215+'All_India_Index_Upto_April23 (1'!AA215+'All_India_Index_Upto_April23 (1'!AB215+'All_India_Index_Upto_April23 (1'!AC215+'All_India_Index_Upto_April23 (1'!AD215</f>
        <v>715.09999999999991</v>
      </c>
      <c r="M215">
        <f t="shared" si="33"/>
        <v>3675.9</v>
      </c>
      <c r="N215">
        <f t="shared" si="34"/>
        <v>40.365624744960414</v>
      </c>
      <c r="O215">
        <f t="shared" si="35"/>
        <v>7.8701814521613764</v>
      </c>
      <c r="P215">
        <f t="shared" si="36"/>
        <v>4.4179656682717159</v>
      </c>
      <c r="Q215">
        <f t="shared" si="37"/>
        <v>12.195652765309175</v>
      </c>
      <c r="R215">
        <f t="shared" si="38"/>
        <v>4.0670312032427427</v>
      </c>
      <c r="S215">
        <f t="shared" si="39"/>
        <v>4.0534290921951088</v>
      </c>
      <c r="T215">
        <f t="shared" si="40"/>
        <v>4.0697516254522696</v>
      </c>
      <c r="U215">
        <f t="shared" si="41"/>
        <v>3.5066242280801982</v>
      </c>
      <c r="V215">
        <f t="shared" si="42"/>
        <v>19.453739220326991</v>
      </c>
      <c r="W215">
        <f t="shared" si="43"/>
        <v>100</v>
      </c>
    </row>
    <row r="216" spans="1:23" x14ac:dyDescent="0.3">
      <c r="A216" t="s">
        <v>32</v>
      </c>
      <c r="B216">
        <v>2018</v>
      </c>
      <c r="C216" t="s">
        <v>45</v>
      </c>
      <c r="D216">
        <f>'All_India_Index_Upto_April23 (1'!D216+'All_India_Index_Upto_April23 (1'!G216+'All_India_Index_Upto_April23 (1'!H216+'All_India_Index_Upto_April23 (1'!I216+'All_India_Index_Upto_April23 (1'!J216+'All_India_Index_Upto_April23 (1'!K216+'All_India_Index_Upto_April23 (1'!L216+'All_India_Index_Upto_April23 (1'!M216+'All_India_Index_Upto_April23 (1'!N216+'All_India_Index_Upto_April23 (1'!O216+'All_India_Index_Upto_April23 (1'!P216</f>
        <v>1457.6999999999998</v>
      </c>
      <c r="E216">
        <f>'All_India_Index_Upto_April23 (1'!E216+'All_India_Index_Upto_April23 (1'!F216</f>
        <v>288.89999999999998</v>
      </c>
      <c r="F216">
        <v>164.6</v>
      </c>
      <c r="G216">
        <f>'All_India_Index_Upto_April23 (1'!R216+'All_India_Index_Upto_April23 (1'!S216+'All_India_Index_Upto_April23 (1'!T216</f>
        <v>413.8</v>
      </c>
      <c r="H216">
        <f>'All_India_Index_Upto_April23 (1'!U216+'All_India_Index_Upto_April23 (1'!W216</f>
        <v>282.7</v>
      </c>
      <c r="I216">
        <v>132.4</v>
      </c>
      <c r="J216">
        <v>137.30000000000001</v>
      </c>
      <c r="K216">
        <v>118.8</v>
      </c>
      <c r="L216">
        <f>'All_India_Index_Upto_April23 (1'!Z216+'All_India_Index_Upto_April23 (1'!AA216+'All_India_Index_Upto_April23 (1'!AB216+'All_India_Index_Upto_April23 (1'!AC216+'All_India_Index_Upto_April23 (1'!AD216</f>
        <v>678.7</v>
      </c>
      <c r="M216">
        <f t="shared" si="33"/>
        <v>3674.9000000000005</v>
      </c>
      <c r="N216">
        <f t="shared" si="34"/>
        <v>39.666385479876993</v>
      </c>
      <c r="O216">
        <f t="shared" si="35"/>
        <v>7.8614384064872489</v>
      </c>
      <c r="P216">
        <f t="shared" si="36"/>
        <v>4.4790334430868857</v>
      </c>
      <c r="Q216">
        <f t="shared" si="37"/>
        <v>11.260170344771286</v>
      </c>
      <c r="R216">
        <f t="shared" si="38"/>
        <v>7.6927263326893227</v>
      </c>
      <c r="S216">
        <f t="shared" si="39"/>
        <v>3.6028191243299132</v>
      </c>
      <c r="T216">
        <f t="shared" si="40"/>
        <v>3.7361560858798875</v>
      </c>
      <c r="U216">
        <f t="shared" si="41"/>
        <v>3.2327410269667198</v>
      </c>
      <c r="V216">
        <f t="shared" si="42"/>
        <v>18.468529755911725</v>
      </c>
      <c r="W216">
        <f t="shared" si="43"/>
        <v>99.999999999999972</v>
      </c>
    </row>
    <row r="217" spans="1:23" x14ac:dyDescent="0.3">
      <c r="A217" t="s">
        <v>33</v>
      </c>
      <c r="B217">
        <v>2018</v>
      </c>
      <c r="C217" t="s">
        <v>45</v>
      </c>
      <c r="D217">
        <f>'All_India_Index_Upto_April23 (1'!D217+'All_India_Index_Upto_April23 (1'!G217+'All_India_Index_Upto_April23 (1'!H217+'All_India_Index_Upto_April23 (1'!I217+'All_India_Index_Upto_April23 (1'!J217+'All_India_Index_Upto_April23 (1'!K217+'All_India_Index_Upto_April23 (1'!L217+'All_India_Index_Upto_April23 (1'!M217+'All_India_Index_Upto_April23 (1'!N217+'All_India_Index_Upto_April23 (1'!O217+'All_India_Index_Upto_April23 (1'!P217</f>
        <v>1473.4999999999998</v>
      </c>
      <c r="E217">
        <f>'All_India_Index_Upto_April23 (1'!E217+'All_India_Index_Upto_April23 (1'!F217</f>
        <v>289.3</v>
      </c>
      <c r="F217">
        <v>163</v>
      </c>
      <c r="G217">
        <f>'All_India_Index_Upto_April23 (1'!R217+'All_India_Index_Upto_April23 (1'!S217+'All_India_Index_Upto_April23 (1'!T217</f>
        <v>434.3</v>
      </c>
      <c r="H217">
        <f>'All_India_Index_Upto_April23 (1'!U217+'All_India_Index_Upto_April23 (1'!W217</f>
        <v>289.7</v>
      </c>
      <c r="I217">
        <v>142.69999999999999</v>
      </c>
      <c r="J217">
        <v>144.9</v>
      </c>
      <c r="K217">
        <v>123.6</v>
      </c>
      <c r="L217">
        <f>'All_India_Index_Upto_April23 (1'!Z217+'All_India_Index_Upto_April23 (1'!AA217+'All_India_Index_Upto_April23 (1'!AB217+'All_India_Index_Upto_April23 (1'!AC217+'All_India_Index_Upto_April23 (1'!AD217</f>
        <v>696</v>
      </c>
      <c r="M217">
        <f t="shared" si="33"/>
        <v>3756.9999999999995</v>
      </c>
      <c r="N217">
        <f t="shared" si="34"/>
        <v>39.220122438115517</v>
      </c>
      <c r="O217">
        <f t="shared" si="35"/>
        <v>7.700292786797978</v>
      </c>
      <c r="P217">
        <f t="shared" si="36"/>
        <v>4.3385680063880754</v>
      </c>
      <c r="Q217">
        <f t="shared" si="37"/>
        <v>11.559755123768966</v>
      </c>
      <c r="R217">
        <f t="shared" si="38"/>
        <v>7.7109395794516908</v>
      </c>
      <c r="S217">
        <f t="shared" si="39"/>
        <v>3.7982432792121372</v>
      </c>
      <c r="T217">
        <f t="shared" si="40"/>
        <v>3.85680063880756</v>
      </c>
      <c r="U217">
        <f t="shared" si="41"/>
        <v>3.2898589299973384</v>
      </c>
      <c r="V217">
        <f t="shared" si="42"/>
        <v>18.525419217460744</v>
      </c>
      <c r="W217">
        <f t="shared" si="43"/>
        <v>100</v>
      </c>
    </row>
    <row r="218" spans="1:23" x14ac:dyDescent="0.3">
      <c r="A218" t="s">
        <v>30</v>
      </c>
      <c r="B218">
        <v>2019</v>
      </c>
      <c r="C218" t="s">
        <v>31</v>
      </c>
      <c r="D218">
        <f>'All_India_Index_Upto_April23 (1'!D218+'All_India_Index_Upto_April23 (1'!G218+'All_India_Index_Upto_April23 (1'!H218+'All_India_Index_Upto_April23 (1'!I218+'All_India_Index_Upto_April23 (1'!J218+'All_India_Index_Upto_April23 (1'!K218+'All_India_Index_Upto_April23 (1'!L218+'All_India_Index_Upto_April23 (1'!M218+'All_India_Index_Upto_April23 (1'!N218+'All_India_Index_Upto_April23 (1'!O218+'All_India_Index_Upto_April23 (1'!P218</f>
        <v>1468.8999999999999</v>
      </c>
      <c r="E218">
        <f>'All_India_Index_Upto_April23 (1'!E218+'All_India_Index_Upto_April23 (1'!F218</f>
        <v>290.7</v>
      </c>
      <c r="F218">
        <v>162.69999999999999</v>
      </c>
      <c r="G218">
        <f>'All_India_Index_Upto_April23 (1'!R218+'All_India_Index_Upto_April23 (1'!S218+'All_India_Index_Upto_April23 (1'!T218</f>
        <v>445.6</v>
      </c>
      <c r="H218">
        <f>'All_India_Index_Upto_April23 (1'!U218+'All_India_Index_Upto_April23 (1'!W218</f>
        <v>150.1</v>
      </c>
      <c r="I218">
        <v>146.19999999999999</v>
      </c>
      <c r="J218">
        <v>149.6</v>
      </c>
      <c r="K218">
        <v>128.6</v>
      </c>
      <c r="L218">
        <f>'All_India_Index_Upto_April23 (1'!Z218+'All_India_Index_Upto_April23 (1'!AA218+'All_India_Index_Upto_April23 (1'!AB218+'All_India_Index_Upto_April23 (1'!AC218+'All_India_Index_Upto_April23 (1'!AD218</f>
        <v>714.3</v>
      </c>
      <c r="M218">
        <f t="shared" si="33"/>
        <v>3656.7</v>
      </c>
      <c r="N218">
        <f t="shared" si="34"/>
        <v>40.17009872289222</v>
      </c>
      <c r="O218">
        <f t="shared" si="35"/>
        <v>7.9497907949790791</v>
      </c>
      <c r="P218">
        <f t="shared" si="36"/>
        <v>4.4493669155249265</v>
      </c>
      <c r="Q218">
        <f t="shared" si="37"/>
        <v>12.185850630349771</v>
      </c>
      <c r="R218">
        <f t="shared" si="38"/>
        <v>4.1047939398911586</v>
      </c>
      <c r="S218">
        <f t="shared" si="39"/>
        <v>3.9981403998140395</v>
      </c>
      <c r="T218">
        <f t="shared" si="40"/>
        <v>4.0911204091120412</v>
      </c>
      <c r="U218">
        <f t="shared" si="41"/>
        <v>3.5168321163890939</v>
      </c>
      <c r="V218">
        <f t="shared" si="42"/>
        <v>19.534006071047667</v>
      </c>
      <c r="W218">
        <f t="shared" si="43"/>
        <v>99.999999999999986</v>
      </c>
    </row>
    <row r="219" spans="1:23" x14ac:dyDescent="0.3">
      <c r="A219" t="s">
        <v>32</v>
      </c>
      <c r="B219">
        <v>2019</v>
      </c>
      <c r="C219" t="s">
        <v>31</v>
      </c>
      <c r="D219">
        <f>'All_India_Index_Upto_April23 (1'!D219+'All_India_Index_Upto_April23 (1'!G219+'All_India_Index_Upto_April23 (1'!H219+'All_India_Index_Upto_April23 (1'!I219+'All_India_Index_Upto_April23 (1'!J219+'All_India_Index_Upto_April23 (1'!K219+'All_India_Index_Upto_April23 (1'!L219+'All_India_Index_Upto_April23 (1'!M219+'All_India_Index_Upto_April23 (1'!N219+'All_India_Index_Upto_April23 (1'!O219+'All_India_Index_Upto_April23 (1'!P219</f>
        <v>1451.3999999999999</v>
      </c>
      <c r="E219">
        <f>'All_India_Index_Upto_April23 (1'!E219+'All_India_Index_Upto_April23 (1'!F219</f>
        <v>292.89999999999998</v>
      </c>
      <c r="F219">
        <v>164.7</v>
      </c>
      <c r="G219">
        <f>'All_India_Index_Upto_April23 (1'!R219+'All_India_Index_Upto_April23 (1'!S219+'All_India_Index_Upto_April23 (1'!T219</f>
        <v>414.5</v>
      </c>
      <c r="H219">
        <f>'All_India_Index_Upto_April23 (1'!U219+'All_India_Index_Upto_April23 (1'!W219</f>
        <v>284</v>
      </c>
      <c r="I219">
        <v>128.6</v>
      </c>
      <c r="J219">
        <v>137.80000000000001</v>
      </c>
      <c r="K219">
        <v>118.6</v>
      </c>
      <c r="L219">
        <f>'All_India_Index_Upto_April23 (1'!Z219+'All_India_Index_Upto_April23 (1'!AA219+'All_India_Index_Upto_April23 (1'!AB219+'All_India_Index_Upto_April23 (1'!AC219+'All_India_Index_Upto_April23 (1'!AD219</f>
        <v>680</v>
      </c>
      <c r="M219">
        <f t="shared" si="33"/>
        <v>3672.5</v>
      </c>
      <c r="N219">
        <f t="shared" si="34"/>
        <v>39.520762423417288</v>
      </c>
      <c r="O219">
        <f t="shared" si="35"/>
        <v>7.9754935330156567</v>
      </c>
      <c r="P219">
        <f t="shared" si="36"/>
        <v>4.4846834581347856</v>
      </c>
      <c r="Q219">
        <f t="shared" si="37"/>
        <v>11.286589516678012</v>
      </c>
      <c r="R219">
        <f t="shared" si="38"/>
        <v>7.7331518039482638</v>
      </c>
      <c r="S219">
        <f t="shared" si="39"/>
        <v>3.5017018379850238</v>
      </c>
      <c r="T219">
        <f t="shared" si="40"/>
        <v>3.752212389380531</v>
      </c>
      <c r="U219">
        <f t="shared" si="41"/>
        <v>3.2294077603812115</v>
      </c>
      <c r="V219">
        <f t="shared" si="42"/>
        <v>18.515997277059224</v>
      </c>
      <c r="W219">
        <f t="shared" si="43"/>
        <v>100</v>
      </c>
    </row>
    <row r="220" spans="1:23" x14ac:dyDescent="0.3">
      <c r="A220" t="s">
        <v>33</v>
      </c>
      <c r="B220">
        <v>2019</v>
      </c>
      <c r="C220" t="s">
        <v>31</v>
      </c>
      <c r="D220">
        <f>'All_India_Index_Upto_April23 (1'!D220+'All_India_Index_Upto_April23 (1'!G220+'All_India_Index_Upto_April23 (1'!H220+'All_India_Index_Upto_April23 (1'!I220+'All_India_Index_Upto_April23 (1'!J220+'All_India_Index_Upto_April23 (1'!K220+'All_India_Index_Upto_April23 (1'!L220+'All_India_Index_Upto_April23 (1'!M220+'All_India_Index_Upto_April23 (1'!N220+'All_India_Index_Upto_April23 (1'!O220+'All_India_Index_Upto_April23 (1'!P220</f>
        <v>1461.8</v>
      </c>
      <c r="E220">
        <f>'All_India_Index_Upto_April23 (1'!E220+'All_India_Index_Upto_April23 (1'!F220</f>
        <v>291.60000000000002</v>
      </c>
      <c r="F220">
        <v>163.19999999999999</v>
      </c>
      <c r="G220">
        <f>'All_India_Index_Upto_April23 (1'!R220+'All_India_Index_Upto_April23 (1'!S220+'All_India_Index_Upto_April23 (1'!T220</f>
        <v>433</v>
      </c>
      <c r="H220">
        <f>'All_India_Index_Upto_April23 (1'!U220+'All_India_Index_Upto_April23 (1'!W220</f>
        <v>291.29999999999995</v>
      </c>
      <c r="I220">
        <v>139.5</v>
      </c>
      <c r="J220">
        <v>145.1</v>
      </c>
      <c r="K220">
        <v>123.3</v>
      </c>
      <c r="L220">
        <f>'All_India_Index_Upto_April23 (1'!Z220+'All_India_Index_Upto_April23 (1'!AA220+'All_India_Index_Upto_April23 (1'!AB220+'All_India_Index_Upto_April23 (1'!AC220+'All_India_Index_Upto_April23 (1'!AD220</f>
        <v>696.2</v>
      </c>
      <c r="M220">
        <f t="shared" si="33"/>
        <v>3745.0000000000009</v>
      </c>
      <c r="N220">
        <f t="shared" si="34"/>
        <v>39.033377837116149</v>
      </c>
      <c r="O220">
        <f t="shared" si="35"/>
        <v>7.786381842456608</v>
      </c>
      <c r="P220">
        <f t="shared" si="36"/>
        <v>4.3578104138851792</v>
      </c>
      <c r="Q220">
        <f t="shared" si="37"/>
        <v>11.562082777036045</v>
      </c>
      <c r="R220">
        <f t="shared" si="38"/>
        <v>7.778371161548729</v>
      </c>
      <c r="S220">
        <f t="shared" si="39"/>
        <v>3.7249666221628828</v>
      </c>
      <c r="T220">
        <f t="shared" si="40"/>
        <v>3.8744993324432562</v>
      </c>
      <c r="U220">
        <f t="shared" si="41"/>
        <v>3.2923898531375158</v>
      </c>
      <c r="V220">
        <f t="shared" si="42"/>
        <v>18.590120160213615</v>
      </c>
      <c r="W220">
        <f t="shared" si="43"/>
        <v>99.999999999999972</v>
      </c>
    </row>
    <row r="221" spans="1:23" x14ac:dyDescent="0.3">
      <c r="A221" t="s">
        <v>30</v>
      </c>
      <c r="B221">
        <v>2019</v>
      </c>
      <c r="C221" t="s">
        <v>34</v>
      </c>
      <c r="D221">
        <f>'All_India_Index_Upto_April23 (1'!D221+'All_India_Index_Upto_April23 (1'!G221+'All_India_Index_Upto_April23 (1'!H221+'All_India_Index_Upto_April23 (1'!I221+'All_India_Index_Upto_April23 (1'!J221+'All_India_Index_Upto_April23 (1'!K221+'All_India_Index_Upto_April23 (1'!L221+'All_India_Index_Upto_April23 (1'!M221+'All_India_Index_Upto_April23 (1'!N221+'All_India_Index_Upto_April23 (1'!O221+'All_India_Index_Upto_April23 (1'!P221</f>
        <v>1467.7000000000003</v>
      </c>
      <c r="E221">
        <f>'All_India_Index_Upto_April23 (1'!E221+'All_India_Index_Upto_April23 (1'!F221</f>
        <v>292.10000000000002</v>
      </c>
      <c r="F221">
        <v>162.80000000000001</v>
      </c>
      <c r="G221">
        <f>'All_India_Index_Upto_April23 (1'!R221+'All_India_Index_Upto_April23 (1'!S221+'All_India_Index_Upto_April23 (1'!T221</f>
        <v>446.5</v>
      </c>
      <c r="H221">
        <f>'All_India_Index_Upto_April23 (1'!U221+'All_India_Index_Upto_April23 (1'!W221</f>
        <v>150.1</v>
      </c>
      <c r="I221">
        <v>145.30000000000001</v>
      </c>
      <c r="J221">
        <v>149.9</v>
      </c>
      <c r="K221">
        <v>129.19999999999999</v>
      </c>
      <c r="L221">
        <f>'All_India_Index_Upto_April23 (1'!Z221+'All_India_Index_Upto_April23 (1'!AA221+'All_India_Index_Upto_April23 (1'!AB221+'All_India_Index_Upto_April23 (1'!AC221+'All_India_Index_Upto_April23 (1'!AD221</f>
        <v>717</v>
      </c>
      <c r="M221">
        <f t="shared" si="33"/>
        <v>3660.6000000000004</v>
      </c>
      <c r="N221">
        <f t="shared" si="34"/>
        <v>40.094520024039774</v>
      </c>
      <c r="O221">
        <f t="shared" si="35"/>
        <v>7.9795661913347544</v>
      </c>
      <c r="P221">
        <f t="shared" si="36"/>
        <v>4.4473583565535701</v>
      </c>
      <c r="Q221">
        <f t="shared" si="37"/>
        <v>12.197453969294649</v>
      </c>
      <c r="R221">
        <f t="shared" si="38"/>
        <v>4.1004206960607545</v>
      </c>
      <c r="S221">
        <f t="shared" si="39"/>
        <v>3.9692946511500846</v>
      </c>
      <c r="T221">
        <f t="shared" si="40"/>
        <v>4.0949571108561438</v>
      </c>
      <c r="U221">
        <f t="shared" si="41"/>
        <v>3.5294760421788771</v>
      </c>
      <c r="V221">
        <f t="shared" si="42"/>
        <v>19.586952958531388</v>
      </c>
      <c r="W221">
        <f t="shared" si="43"/>
        <v>99.999999999999986</v>
      </c>
    </row>
    <row r="222" spans="1:23" x14ac:dyDescent="0.3">
      <c r="A222" t="s">
        <v>32</v>
      </c>
      <c r="B222">
        <v>2019</v>
      </c>
      <c r="C222" t="s">
        <v>34</v>
      </c>
      <c r="D222">
        <f>'All_India_Index_Upto_April23 (1'!D222+'All_India_Index_Upto_April23 (1'!G222+'All_India_Index_Upto_April23 (1'!H222+'All_India_Index_Upto_April23 (1'!I222+'All_India_Index_Upto_April23 (1'!J222+'All_India_Index_Upto_April23 (1'!K222+'All_India_Index_Upto_April23 (1'!L222+'All_India_Index_Upto_April23 (1'!M222+'All_India_Index_Upto_April23 (1'!N222+'All_India_Index_Upto_April23 (1'!O222+'All_India_Index_Upto_April23 (1'!P222</f>
        <v>1459</v>
      </c>
      <c r="E222">
        <f>'All_India_Index_Upto_April23 (1'!E222+'All_India_Index_Upto_April23 (1'!F222</f>
        <v>295.39999999999998</v>
      </c>
      <c r="F222">
        <v>164.9</v>
      </c>
      <c r="G222">
        <f>'All_India_Index_Upto_April23 (1'!R222+'All_India_Index_Upto_April23 (1'!S222+'All_India_Index_Upto_April23 (1'!T222</f>
        <v>415.5</v>
      </c>
      <c r="H222">
        <f>'All_India_Index_Upto_April23 (1'!U222+'All_India_Index_Upto_April23 (1'!W222</f>
        <v>285.10000000000002</v>
      </c>
      <c r="I222">
        <v>127.1</v>
      </c>
      <c r="J222">
        <v>138.5</v>
      </c>
      <c r="K222">
        <v>119.2</v>
      </c>
      <c r="L222">
        <f>'All_India_Index_Upto_April23 (1'!Z222+'All_India_Index_Upto_April23 (1'!AA222+'All_India_Index_Upto_April23 (1'!AB222+'All_India_Index_Upto_April23 (1'!AC222+'All_India_Index_Upto_April23 (1'!AD222</f>
        <v>682.8</v>
      </c>
      <c r="M222">
        <f t="shared" si="33"/>
        <v>3687.5</v>
      </c>
      <c r="N222">
        <f t="shared" si="34"/>
        <v>39.566101694915254</v>
      </c>
      <c r="O222">
        <f t="shared" si="35"/>
        <v>8.0108474576271185</v>
      </c>
      <c r="P222">
        <f t="shared" si="36"/>
        <v>4.4718644067796607</v>
      </c>
      <c r="Q222">
        <f t="shared" si="37"/>
        <v>11.267796610169492</v>
      </c>
      <c r="R222">
        <f t="shared" si="38"/>
        <v>7.7315254237288151</v>
      </c>
      <c r="S222">
        <f t="shared" si="39"/>
        <v>3.4467796610169494</v>
      </c>
      <c r="T222">
        <f t="shared" si="40"/>
        <v>3.7559322033898308</v>
      </c>
      <c r="U222">
        <f t="shared" si="41"/>
        <v>3.2325423728813556</v>
      </c>
      <c r="V222">
        <f t="shared" si="42"/>
        <v>18.516610169491525</v>
      </c>
      <c r="W222">
        <f t="shared" si="43"/>
        <v>100</v>
      </c>
    </row>
    <row r="223" spans="1:23" x14ac:dyDescent="0.3">
      <c r="A223" t="s">
        <v>33</v>
      </c>
      <c r="B223">
        <v>2019</v>
      </c>
      <c r="C223" t="s">
        <v>34</v>
      </c>
      <c r="D223">
        <f>'All_India_Index_Upto_April23 (1'!D223+'All_India_Index_Upto_April23 (1'!G223+'All_India_Index_Upto_April23 (1'!H223+'All_India_Index_Upto_April23 (1'!I223+'All_India_Index_Upto_April23 (1'!J223+'All_India_Index_Upto_April23 (1'!K223+'All_India_Index_Upto_April23 (1'!L223+'All_India_Index_Upto_April23 (1'!M223+'All_India_Index_Upto_April23 (1'!N223+'All_India_Index_Upto_April23 (1'!O223+'All_India_Index_Upto_April23 (1'!P223</f>
        <v>1463.6</v>
      </c>
      <c r="E223">
        <f>'All_India_Index_Upto_April23 (1'!E223+'All_India_Index_Upto_April23 (1'!F223</f>
        <v>293.5</v>
      </c>
      <c r="F223">
        <v>163.4</v>
      </c>
      <c r="G223">
        <f>'All_India_Index_Upto_April23 (1'!R223+'All_India_Index_Upto_April23 (1'!S223+'All_India_Index_Upto_April23 (1'!T223</f>
        <v>433.9</v>
      </c>
      <c r="H223">
        <f>'All_India_Index_Upto_April23 (1'!U223+'All_India_Index_Upto_April23 (1'!W223</f>
        <v>292.2</v>
      </c>
      <c r="I223">
        <v>138.4</v>
      </c>
      <c r="J223">
        <v>145.6</v>
      </c>
      <c r="K223">
        <v>123.9</v>
      </c>
      <c r="L223">
        <f>'All_India_Index_Upto_April23 (1'!Z223+'All_India_Index_Upto_April23 (1'!AA223+'All_India_Index_Upto_April23 (1'!AB223+'All_India_Index_Upto_April23 (1'!AC223+'All_India_Index_Upto_April23 (1'!AD223</f>
        <v>698.8</v>
      </c>
      <c r="M223">
        <f t="shared" si="33"/>
        <v>3753.3</v>
      </c>
      <c r="N223">
        <f t="shared" si="34"/>
        <v>38.995017717741717</v>
      </c>
      <c r="O223">
        <f t="shared" si="35"/>
        <v>7.819785255641702</v>
      </c>
      <c r="P223">
        <f t="shared" si="36"/>
        <v>4.3535022513521433</v>
      </c>
      <c r="Q223">
        <f t="shared" si="37"/>
        <v>11.560493432446114</v>
      </c>
      <c r="R223">
        <f t="shared" si="38"/>
        <v>7.7851490688194387</v>
      </c>
      <c r="S223">
        <f t="shared" si="39"/>
        <v>3.6874217355393917</v>
      </c>
      <c r="T223">
        <f t="shared" si="40"/>
        <v>3.8792529240934641</v>
      </c>
      <c r="U223">
        <f t="shared" si="41"/>
        <v>3.3010950363679958</v>
      </c>
      <c r="V223">
        <f t="shared" si="42"/>
        <v>18.618282577998027</v>
      </c>
      <c r="W223">
        <f t="shared" si="43"/>
        <v>100</v>
      </c>
    </row>
    <row r="224" spans="1:23" x14ac:dyDescent="0.3">
      <c r="A224" t="s">
        <v>30</v>
      </c>
      <c r="B224">
        <v>2019</v>
      </c>
      <c r="C224" t="s">
        <v>35</v>
      </c>
      <c r="D224">
        <f>'All_India_Index_Upto_April23 (1'!D224+'All_India_Index_Upto_April23 (1'!G224+'All_India_Index_Upto_April23 (1'!H224+'All_India_Index_Upto_April23 (1'!I224+'All_India_Index_Upto_April23 (1'!J224+'All_India_Index_Upto_April23 (1'!K224+'All_India_Index_Upto_April23 (1'!L224+'All_India_Index_Upto_April23 (1'!M224+'All_India_Index_Upto_April23 (1'!N224+'All_India_Index_Upto_April23 (1'!O224+'All_India_Index_Upto_April23 (1'!P224</f>
        <v>1468.4</v>
      </c>
      <c r="E224">
        <f>'All_India_Index_Upto_April23 (1'!E224+'All_India_Index_Upto_April23 (1'!F224</f>
        <v>292.79999999999995</v>
      </c>
      <c r="F224">
        <v>162.9</v>
      </c>
      <c r="G224">
        <f>'All_India_Index_Upto_April23 (1'!R224+'All_India_Index_Upto_April23 (1'!S224+'All_India_Index_Upto_April23 (1'!T224</f>
        <v>447</v>
      </c>
      <c r="H224">
        <f>'All_India_Index_Upto_April23 (1'!U224+'All_India_Index_Upto_April23 (1'!W224</f>
        <v>150</v>
      </c>
      <c r="I224">
        <v>146.4</v>
      </c>
      <c r="J224">
        <v>150.4</v>
      </c>
      <c r="K224">
        <v>129.9</v>
      </c>
      <c r="L224">
        <f>'All_India_Index_Upto_April23 (1'!Z224+'All_India_Index_Upto_April23 (1'!AA224+'All_India_Index_Upto_April23 (1'!AB224+'All_India_Index_Upto_April23 (1'!AC224+'All_India_Index_Upto_April23 (1'!AD224</f>
        <v>716.90000000000009</v>
      </c>
      <c r="M224">
        <f t="shared" si="33"/>
        <v>3664.7000000000007</v>
      </c>
      <c r="N224">
        <f t="shared" si="34"/>
        <v>40.068764155319663</v>
      </c>
      <c r="O224">
        <f t="shared" si="35"/>
        <v>7.9897399514284899</v>
      </c>
      <c r="P224">
        <f t="shared" si="36"/>
        <v>4.4451114688787614</v>
      </c>
      <c r="Q224">
        <f t="shared" si="37"/>
        <v>12.197451360275053</v>
      </c>
      <c r="R224">
        <f t="shared" si="38"/>
        <v>4.0931044833137769</v>
      </c>
      <c r="S224">
        <f t="shared" si="39"/>
        <v>3.9948699757142463</v>
      </c>
      <c r="T224">
        <f t="shared" si="40"/>
        <v>4.1040194286026139</v>
      </c>
      <c r="U224">
        <f t="shared" si="41"/>
        <v>3.5446284825497303</v>
      </c>
      <c r="V224">
        <f t="shared" si="42"/>
        <v>19.562310693917645</v>
      </c>
      <c r="W224">
        <f t="shared" si="43"/>
        <v>99.999999999999972</v>
      </c>
    </row>
    <row r="225" spans="1:23" x14ac:dyDescent="0.3">
      <c r="A225" t="s">
        <v>32</v>
      </c>
      <c r="B225">
        <v>2019</v>
      </c>
      <c r="C225" t="s">
        <v>35</v>
      </c>
      <c r="D225">
        <f>'All_India_Index_Upto_April23 (1'!D225+'All_India_Index_Upto_April23 (1'!G225+'All_India_Index_Upto_April23 (1'!H225+'All_India_Index_Upto_April23 (1'!I225+'All_India_Index_Upto_April23 (1'!J225+'All_India_Index_Upto_April23 (1'!K225+'All_India_Index_Upto_April23 (1'!L225+'All_India_Index_Upto_April23 (1'!M225+'All_India_Index_Upto_April23 (1'!N225+'All_India_Index_Upto_April23 (1'!O225+'All_India_Index_Upto_April23 (1'!P225</f>
        <v>1474.3999999999999</v>
      </c>
      <c r="E225">
        <f>'All_India_Index_Upto_April23 (1'!E225+'All_India_Index_Upto_April23 (1'!F225</f>
        <v>294</v>
      </c>
      <c r="F225">
        <v>165.3</v>
      </c>
      <c r="G225">
        <f>'All_India_Index_Upto_April23 (1'!R225+'All_India_Index_Upto_April23 (1'!S225+'All_India_Index_Upto_April23 (1'!T225</f>
        <v>416.29999999999995</v>
      </c>
      <c r="H225">
        <f>'All_India_Index_Upto_April23 (1'!U225+'All_India_Index_Upto_April23 (1'!W225</f>
        <v>285.8</v>
      </c>
      <c r="I225">
        <v>128.80000000000001</v>
      </c>
      <c r="J225">
        <v>139.19999999999999</v>
      </c>
      <c r="K225">
        <v>119.9</v>
      </c>
      <c r="L225">
        <f>'All_India_Index_Upto_April23 (1'!Z225+'All_India_Index_Upto_April23 (1'!AA225+'All_India_Index_Upto_April23 (1'!AB225+'All_India_Index_Upto_April23 (1'!AC225+'All_India_Index_Upto_April23 (1'!AD225</f>
        <v>684.5</v>
      </c>
      <c r="M225">
        <f t="shared" si="33"/>
        <v>3708.2000000000003</v>
      </c>
      <c r="N225">
        <f t="shared" si="34"/>
        <v>39.76053071571112</v>
      </c>
      <c r="O225">
        <f t="shared" si="35"/>
        <v>7.9283749528072915</v>
      </c>
      <c r="P225">
        <f t="shared" si="36"/>
        <v>4.4576883663232838</v>
      </c>
      <c r="Q225">
        <f t="shared" si="37"/>
        <v>11.226471064128146</v>
      </c>
      <c r="R225">
        <f t="shared" si="38"/>
        <v>7.707243406504503</v>
      </c>
      <c r="S225">
        <f t="shared" si="39"/>
        <v>3.4733833126584326</v>
      </c>
      <c r="T225">
        <f t="shared" si="40"/>
        <v>3.7538428347985544</v>
      </c>
      <c r="U225">
        <f t="shared" si="41"/>
        <v>3.2333746831346746</v>
      </c>
      <c r="V225">
        <f t="shared" si="42"/>
        <v>18.459090663933981</v>
      </c>
      <c r="W225">
        <f t="shared" si="43"/>
        <v>99.999999999999957</v>
      </c>
    </row>
    <row r="226" spans="1:23" x14ac:dyDescent="0.3">
      <c r="A226" t="s">
        <v>33</v>
      </c>
      <c r="B226">
        <v>2019</v>
      </c>
      <c r="C226" t="s">
        <v>35</v>
      </c>
      <c r="D226">
        <f>'All_India_Index_Upto_April23 (1'!D226+'All_India_Index_Upto_April23 (1'!G226+'All_India_Index_Upto_April23 (1'!H226+'All_India_Index_Upto_April23 (1'!I226+'All_India_Index_Upto_April23 (1'!J226+'All_India_Index_Upto_April23 (1'!K226+'All_India_Index_Upto_April23 (1'!L226+'All_India_Index_Upto_April23 (1'!M226+'All_India_Index_Upto_April23 (1'!N226+'All_India_Index_Upto_April23 (1'!O226+'All_India_Index_Upto_April23 (1'!P226</f>
        <v>1469.6</v>
      </c>
      <c r="E226">
        <f>'All_India_Index_Upto_April23 (1'!E226+'All_India_Index_Upto_April23 (1'!F226</f>
        <v>293.3</v>
      </c>
      <c r="F226">
        <v>163.5</v>
      </c>
      <c r="G226">
        <f>'All_India_Index_Upto_April23 (1'!R226+'All_India_Index_Upto_April23 (1'!S226+'All_India_Index_Upto_April23 (1'!T226</f>
        <v>434.5</v>
      </c>
      <c r="H226">
        <f>'All_India_Index_Upto_April23 (1'!U226+'All_India_Index_Upto_April23 (1'!W226</f>
        <v>292.8</v>
      </c>
      <c r="I226">
        <v>139.69999999999999</v>
      </c>
      <c r="J226">
        <v>146.19999999999999</v>
      </c>
      <c r="K226">
        <v>124.6</v>
      </c>
      <c r="L226">
        <f>'All_India_Index_Upto_April23 (1'!Z226+'All_India_Index_Upto_April23 (1'!AA226+'All_India_Index_Upto_April23 (1'!AB226+'All_India_Index_Upto_April23 (1'!AC226+'All_India_Index_Upto_April23 (1'!AD226</f>
        <v>699.49999999999989</v>
      </c>
      <c r="M226">
        <f t="shared" si="33"/>
        <v>3763.6999999999994</v>
      </c>
      <c r="N226">
        <f t="shared" si="34"/>
        <v>39.046682785556769</v>
      </c>
      <c r="O226">
        <f t="shared" si="35"/>
        <v>7.7928634056912101</v>
      </c>
      <c r="P226">
        <f t="shared" si="36"/>
        <v>4.3441294470866438</v>
      </c>
      <c r="Q226">
        <f t="shared" si="37"/>
        <v>11.544490793633926</v>
      </c>
      <c r="R226">
        <f t="shared" si="38"/>
        <v>7.779578606158835</v>
      </c>
      <c r="S226">
        <f t="shared" si="39"/>
        <v>3.7117729893455911</v>
      </c>
      <c r="T226">
        <f t="shared" si="40"/>
        <v>3.8844753832664667</v>
      </c>
      <c r="U226">
        <f t="shared" si="41"/>
        <v>3.3105720434678645</v>
      </c>
      <c r="V226">
        <f t="shared" si="42"/>
        <v>18.585434545792705</v>
      </c>
      <c r="W226">
        <f t="shared" si="43"/>
        <v>100</v>
      </c>
    </row>
    <row r="227" spans="1:23" x14ac:dyDescent="0.3">
      <c r="A227" t="s">
        <v>30</v>
      </c>
      <c r="B227">
        <v>2019</v>
      </c>
      <c r="C227" t="s">
        <v>37</v>
      </c>
      <c r="D227">
        <f>'All_India_Index_Upto_April23 (1'!D227+'All_India_Index_Upto_April23 (1'!G227+'All_India_Index_Upto_April23 (1'!H227+'All_India_Index_Upto_April23 (1'!I227+'All_India_Index_Upto_April23 (1'!J227+'All_India_Index_Upto_April23 (1'!K227+'All_India_Index_Upto_April23 (1'!L227+'All_India_Index_Upto_April23 (1'!M227+'All_India_Index_Upto_April23 (1'!N227+'All_India_Index_Upto_April23 (1'!O227+'All_India_Index_Upto_April23 (1'!P227</f>
        <v>1488.1000000000001</v>
      </c>
      <c r="E227">
        <f>'All_India_Index_Upto_April23 (1'!E227+'All_India_Index_Upto_April23 (1'!F227</f>
        <v>294</v>
      </c>
      <c r="F227">
        <v>163.30000000000001</v>
      </c>
      <c r="G227">
        <f>'All_India_Index_Upto_April23 (1'!R227+'All_India_Index_Upto_April23 (1'!S227+'All_India_Index_Upto_April23 (1'!T227</f>
        <v>448.59999999999997</v>
      </c>
      <c r="H227">
        <f>'All_India_Index_Upto_April23 (1'!U227+'All_India_Index_Upto_April23 (1'!W227</f>
        <v>149.5</v>
      </c>
      <c r="I227">
        <v>146.9</v>
      </c>
      <c r="J227">
        <v>151.30000000000001</v>
      </c>
      <c r="K227">
        <v>130.19999999999999</v>
      </c>
      <c r="L227">
        <f>'All_India_Index_Upto_April23 (1'!Z227+'All_India_Index_Upto_April23 (1'!AA227+'All_India_Index_Upto_April23 (1'!AB227+'All_India_Index_Upto_April23 (1'!AC227+'All_India_Index_Upto_April23 (1'!AD227</f>
        <v>721.8</v>
      </c>
      <c r="M227">
        <f t="shared" si="33"/>
        <v>3693.7</v>
      </c>
      <c r="N227">
        <f t="shared" si="34"/>
        <v>40.287516582288767</v>
      </c>
      <c r="O227">
        <f t="shared" si="35"/>
        <v>7.9594986057340886</v>
      </c>
      <c r="P227">
        <f t="shared" si="36"/>
        <v>4.4210412323686281</v>
      </c>
      <c r="Q227">
        <f t="shared" si="37"/>
        <v>12.145003654871807</v>
      </c>
      <c r="R227">
        <f t="shared" si="38"/>
        <v>4.0474321141402934</v>
      </c>
      <c r="S227">
        <f t="shared" si="39"/>
        <v>3.9770419904161143</v>
      </c>
      <c r="T227">
        <f t="shared" si="40"/>
        <v>4.0961637382570322</v>
      </c>
      <c r="U227">
        <f t="shared" si="41"/>
        <v>3.5249208111108099</v>
      </c>
      <c r="V227">
        <f t="shared" si="42"/>
        <v>19.541381270812465</v>
      </c>
      <c r="W227">
        <f t="shared" si="43"/>
        <v>100</v>
      </c>
    </row>
    <row r="228" spans="1:23" x14ac:dyDescent="0.3">
      <c r="A228" t="s">
        <v>32</v>
      </c>
      <c r="B228">
        <v>2019</v>
      </c>
      <c r="C228" t="s">
        <v>37</v>
      </c>
      <c r="D228">
        <f>'All_India_Index_Upto_April23 (1'!D228+'All_India_Index_Upto_April23 (1'!G228+'All_India_Index_Upto_April23 (1'!H228+'All_India_Index_Upto_April23 (1'!I228+'All_India_Index_Upto_April23 (1'!J228+'All_India_Index_Upto_April23 (1'!K228+'All_India_Index_Upto_April23 (1'!L228+'All_India_Index_Upto_April23 (1'!M228+'All_India_Index_Upto_April23 (1'!N228+'All_India_Index_Upto_April23 (1'!O228+'All_India_Index_Upto_April23 (1'!P228</f>
        <v>1516.5</v>
      </c>
      <c r="E228">
        <f>'All_India_Index_Upto_April23 (1'!E228+'All_India_Index_Upto_April23 (1'!F228</f>
        <v>295</v>
      </c>
      <c r="F228">
        <v>166.2</v>
      </c>
      <c r="G228">
        <f>'All_India_Index_Upto_April23 (1'!R228+'All_India_Index_Upto_April23 (1'!S228+'All_India_Index_Upto_April23 (1'!T228</f>
        <v>417.9</v>
      </c>
      <c r="H228">
        <f>'All_India_Index_Upto_April23 (1'!U228+'All_India_Index_Upto_April23 (1'!W228</f>
        <v>287.29999999999995</v>
      </c>
      <c r="I228">
        <v>129.4</v>
      </c>
      <c r="J228">
        <v>139.80000000000001</v>
      </c>
      <c r="K228">
        <v>120.1</v>
      </c>
      <c r="L228">
        <f>'All_India_Index_Upto_April23 (1'!Z228+'All_India_Index_Upto_April23 (1'!AA228+'All_India_Index_Upto_April23 (1'!AB228+'All_India_Index_Upto_April23 (1'!AC228+'All_India_Index_Upto_April23 (1'!AD228</f>
        <v>689.40000000000009</v>
      </c>
      <c r="M228">
        <f t="shared" si="33"/>
        <v>3761.6</v>
      </c>
      <c r="N228">
        <f t="shared" si="34"/>
        <v>40.315291365376439</v>
      </c>
      <c r="O228">
        <f t="shared" si="35"/>
        <v>7.8424074861760946</v>
      </c>
      <c r="P228">
        <f t="shared" si="36"/>
        <v>4.4183326244151422</v>
      </c>
      <c r="Q228">
        <f t="shared" si="37"/>
        <v>11.109634198213527</v>
      </c>
      <c r="R228">
        <f t="shared" si="38"/>
        <v>7.6377073585708191</v>
      </c>
      <c r="S228">
        <f t="shared" si="39"/>
        <v>3.4400255210548707</v>
      </c>
      <c r="T228">
        <f t="shared" si="40"/>
        <v>3.716503615482774</v>
      </c>
      <c r="U228">
        <f t="shared" si="41"/>
        <v>3.1927903019991497</v>
      </c>
      <c r="V228">
        <f t="shared" si="42"/>
        <v>18.327307528711188</v>
      </c>
      <c r="W228">
        <f t="shared" si="43"/>
        <v>100.00000000000001</v>
      </c>
    </row>
    <row r="229" spans="1:23" x14ac:dyDescent="0.3">
      <c r="A229" t="s">
        <v>33</v>
      </c>
      <c r="B229">
        <v>2019</v>
      </c>
      <c r="C229" t="s">
        <v>37</v>
      </c>
      <c r="D229">
        <f>'All_India_Index_Upto_April23 (1'!D229+'All_India_Index_Upto_April23 (1'!G229+'All_India_Index_Upto_April23 (1'!H229+'All_India_Index_Upto_April23 (1'!I229+'All_India_Index_Upto_April23 (1'!J229+'All_India_Index_Upto_April23 (1'!K229+'All_India_Index_Upto_April23 (1'!L229+'All_India_Index_Upto_April23 (1'!M229+'All_India_Index_Upto_April23 (1'!N229+'All_India_Index_Upto_April23 (1'!O229+'All_India_Index_Upto_April23 (1'!P229</f>
        <v>1497.4</v>
      </c>
      <c r="E229">
        <f>'All_India_Index_Upto_April23 (1'!E229+'All_India_Index_Upto_April23 (1'!F229</f>
        <v>294.5</v>
      </c>
      <c r="F229">
        <v>164.1</v>
      </c>
      <c r="G229">
        <f>'All_India_Index_Upto_April23 (1'!R229+'All_India_Index_Upto_April23 (1'!S229+'All_India_Index_Upto_April23 (1'!T229</f>
        <v>436.1</v>
      </c>
      <c r="H229">
        <f>'All_India_Index_Upto_April23 (1'!U229+'All_India_Index_Upto_April23 (1'!W229</f>
        <v>293.79999999999995</v>
      </c>
      <c r="I229">
        <v>140.30000000000001</v>
      </c>
      <c r="J229">
        <v>146.9</v>
      </c>
      <c r="K229">
        <v>124.9</v>
      </c>
      <c r="L229">
        <f>'All_India_Index_Upto_April23 (1'!Z229+'All_India_Index_Upto_April23 (1'!AA229+'All_India_Index_Upto_April23 (1'!AB229+'All_India_Index_Upto_April23 (1'!AC229+'All_India_Index_Upto_April23 (1'!AD229</f>
        <v>704.39999999999986</v>
      </c>
      <c r="M229">
        <f t="shared" si="33"/>
        <v>3802.3999999999996</v>
      </c>
      <c r="N229">
        <f t="shared" si="34"/>
        <v>39.380391331790456</v>
      </c>
      <c r="O229">
        <f t="shared" si="35"/>
        <v>7.7451083526193996</v>
      </c>
      <c r="P229">
        <f t="shared" si="36"/>
        <v>4.315695350305071</v>
      </c>
      <c r="Q229">
        <f t="shared" si="37"/>
        <v>11.469072164948455</v>
      </c>
      <c r="R229">
        <f t="shared" si="38"/>
        <v>7.7266989269934774</v>
      </c>
      <c r="S229">
        <f t="shared" si="39"/>
        <v>3.689774879023775</v>
      </c>
      <c r="T229">
        <f t="shared" si="40"/>
        <v>3.8633494634967396</v>
      </c>
      <c r="U229">
        <f t="shared" si="41"/>
        <v>3.2847675152535247</v>
      </c>
      <c r="V229">
        <f t="shared" si="42"/>
        <v>18.525142015569113</v>
      </c>
      <c r="W229">
        <f t="shared" si="43"/>
        <v>100.00000000000001</v>
      </c>
    </row>
    <row r="230" spans="1:23" x14ac:dyDescent="0.3">
      <c r="A230" t="s">
        <v>30</v>
      </c>
      <c r="B230">
        <v>2019</v>
      </c>
      <c r="C230" t="s">
        <v>38</v>
      </c>
      <c r="D230">
        <f>'All_India_Index_Upto_April23 (1'!D230+'All_India_Index_Upto_April23 (1'!G230+'All_India_Index_Upto_April23 (1'!H230+'All_India_Index_Upto_April23 (1'!I230+'All_India_Index_Upto_April23 (1'!J230+'All_India_Index_Upto_April23 (1'!K230+'All_India_Index_Upto_April23 (1'!L230+'All_India_Index_Upto_April23 (1'!M230+'All_India_Index_Upto_April23 (1'!N230+'All_India_Index_Upto_April23 (1'!O230+'All_India_Index_Upto_April23 (1'!P230</f>
        <v>1504.5</v>
      </c>
      <c r="E230">
        <f>'All_India_Index_Upto_April23 (1'!E230+'All_India_Index_Upto_April23 (1'!F230</f>
        <v>299.7</v>
      </c>
      <c r="F230">
        <v>164.2</v>
      </c>
      <c r="G230">
        <f>'All_India_Index_Upto_April23 (1'!R230+'All_India_Index_Upto_April23 (1'!S230+'All_India_Index_Upto_April23 (1'!T230</f>
        <v>448.59999999999997</v>
      </c>
      <c r="H230">
        <f>'All_India_Index_Upto_April23 (1'!U230+'All_India_Index_Upto_April23 (1'!W230</f>
        <v>149.6</v>
      </c>
      <c r="I230">
        <v>147.80000000000001</v>
      </c>
      <c r="J230">
        <v>151.69999999999999</v>
      </c>
      <c r="K230">
        <v>130.19999999999999</v>
      </c>
      <c r="L230">
        <f>'All_India_Index_Upto_April23 (1'!Z230+'All_India_Index_Upto_April23 (1'!AA230+'All_India_Index_Upto_April23 (1'!AB230+'All_India_Index_Upto_April23 (1'!AC230+'All_India_Index_Upto_April23 (1'!AD230</f>
        <v>725.80000000000007</v>
      </c>
      <c r="M230">
        <f t="shared" si="33"/>
        <v>3722.1</v>
      </c>
      <c r="N230">
        <f t="shared" si="34"/>
        <v>40.420730232933025</v>
      </c>
      <c r="O230">
        <f t="shared" si="35"/>
        <v>8.0519061819940347</v>
      </c>
      <c r="P230">
        <f t="shared" si="36"/>
        <v>4.4114881384164857</v>
      </c>
      <c r="Q230">
        <f t="shared" si="37"/>
        <v>12.052336046855268</v>
      </c>
      <c r="R230">
        <f t="shared" si="38"/>
        <v>4.0192364525402331</v>
      </c>
      <c r="S230">
        <f t="shared" si="39"/>
        <v>3.9708766556513799</v>
      </c>
      <c r="T230">
        <f t="shared" si="40"/>
        <v>4.0756562155772276</v>
      </c>
      <c r="U230">
        <f t="shared" si="41"/>
        <v>3.4980253082937049</v>
      </c>
      <c r="V230">
        <f t="shared" si="42"/>
        <v>19.499744767738644</v>
      </c>
      <c r="W230">
        <f t="shared" si="43"/>
        <v>100</v>
      </c>
    </row>
    <row r="231" spans="1:23" x14ac:dyDescent="0.3">
      <c r="A231" t="s">
        <v>32</v>
      </c>
      <c r="B231">
        <v>2019</v>
      </c>
      <c r="C231" t="s">
        <v>38</v>
      </c>
      <c r="D231">
        <f>'All_India_Index_Upto_April23 (1'!D231+'All_India_Index_Upto_April23 (1'!G231+'All_India_Index_Upto_April23 (1'!H231+'All_India_Index_Upto_April23 (1'!I231+'All_India_Index_Upto_April23 (1'!J231+'All_India_Index_Upto_April23 (1'!K231+'All_India_Index_Upto_April23 (1'!L231+'All_India_Index_Upto_April23 (1'!M231+'All_India_Index_Upto_April23 (1'!N231+'All_India_Index_Upto_April23 (1'!O231+'All_India_Index_Upto_April23 (1'!P231</f>
        <v>1533.2999999999997</v>
      </c>
      <c r="E231">
        <f>'All_India_Index_Upto_April23 (1'!E231+'All_India_Index_Upto_April23 (1'!F231</f>
        <v>300</v>
      </c>
      <c r="F231">
        <v>166.7</v>
      </c>
      <c r="G231">
        <f>'All_India_Index_Upto_April23 (1'!R231+'All_India_Index_Upto_April23 (1'!S231+'All_India_Index_Upto_April23 (1'!T231</f>
        <v>418.4</v>
      </c>
      <c r="H231">
        <f>'All_India_Index_Upto_April23 (1'!U231+'All_India_Index_Upto_April23 (1'!W231</f>
        <v>286.8</v>
      </c>
      <c r="I231">
        <v>130.5</v>
      </c>
      <c r="J231">
        <v>140.30000000000001</v>
      </c>
      <c r="K231">
        <v>119.6</v>
      </c>
      <c r="L231">
        <f>'All_India_Index_Upto_April23 (1'!Z231+'All_India_Index_Upto_April23 (1'!AA231+'All_India_Index_Upto_April23 (1'!AB231+'All_India_Index_Upto_April23 (1'!AC231+'All_India_Index_Upto_April23 (1'!AD231</f>
        <v>692.6</v>
      </c>
      <c r="M231">
        <f t="shared" si="33"/>
        <v>3788.2</v>
      </c>
      <c r="N231">
        <f t="shared" si="34"/>
        <v>40.47568766168628</v>
      </c>
      <c r="O231">
        <f t="shared" si="35"/>
        <v>7.9193284409482079</v>
      </c>
      <c r="P231">
        <f t="shared" si="36"/>
        <v>4.4005068370202203</v>
      </c>
      <c r="Q231">
        <f t="shared" si="37"/>
        <v>11.044823398975767</v>
      </c>
      <c r="R231">
        <f t="shared" si="38"/>
        <v>7.5708779895464868</v>
      </c>
      <c r="S231">
        <f t="shared" si="39"/>
        <v>3.4449078718124708</v>
      </c>
      <c r="T231">
        <f t="shared" si="40"/>
        <v>3.7036059342167791</v>
      </c>
      <c r="U231">
        <f t="shared" si="41"/>
        <v>3.1571722717913522</v>
      </c>
      <c r="V231">
        <f t="shared" si="42"/>
        <v>18.28308959400243</v>
      </c>
      <c r="W231">
        <f t="shared" si="43"/>
        <v>100</v>
      </c>
    </row>
    <row r="232" spans="1:23" x14ac:dyDescent="0.3">
      <c r="A232" t="s">
        <v>33</v>
      </c>
      <c r="B232">
        <v>2019</v>
      </c>
      <c r="C232" t="s">
        <v>38</v>
      </c>
      <c r="D232">
        <f>'All_India_Index_Upto_April23 (1'!D232+'All_India_Index_Upto_April23 (1'!G232+'All_India_Index_Upto_April23 (1'!H232+'All_India_Index_Upto_April23 (1'!I232+'All_India_Index_Upto_April23 (1'!J232+'All_India_Index_Upto_April23 (1'!K232+'All_India_Index_Upto_April23 (1'!L232+'All_India_Index_Upto_April23 (1'!M232+'All_India_Index_Upto_April23 (1'!N232+'All_India_Index_Upto_April23 (1'!O232+'All_India_Index_Upto_April23 (1'!P232</f>
        <v>1514.2</v>
      </c>
      <c r="E232">
        <f>'All_India_Index_Upto_April23 (1'!E232+'All_India_Index_Upto_April23 (1'!F232</f>
        <v>299.89999999999998</v>
      </c>
      <c r="F232">
        <v>164.9</v>
      </c>
      <c r="G232">
        <f>'All_India_Index_Upto_April23 (1'!R232+'All_India_Index_Upto_April23 (1'!S232+'All_India_Index_Upto_April23 (1'!T232</f>
        <v>436.4</v>
      </c>
      <c r="H232">
        <f>'All_India_Index_Upto_April23 (1'!U232+'All_India_Index_Upto_April23 (1'!W232</f>
        <v>293.20000000000005</v>
      </c>
      <c r="I232">
        <v>141.19999999999999</v>
      </c>
      <c r="J232">
        <v>147.4</v>
      </c>
      <c r="K232">
        <v>124.6</v>
      </c>
      <c r="L232">
        <f>'All_India_Index_Upto_April23 (1'!Z232+'All_India_Index_Upto_April23 (1'!AA232+'All_India_Index_Upto_April23 (1'!AB232+'All_India_Index_Upto_April23 (1'!AC232+'All_India_Index_Upto_April23 (1'!AD232</f>
        <v>707.9</v>
      </c>
      <c r="M232">
        <f t="shared" si="33"/>
        <v>3829.7000000000003</v>
      </c>
      <c r="N232">
        <f t="shared" si="34"/>
        <v>39.538345040081467</v>
      </c>
      <c r="O232">
        <f t="shared" si="35"/>
        <v>7.8309005927357216</v>
      </c>
      <c r="P232">
        <f t="shared" si="36"/>
        <v>4.3058202992401489</v>
      </c>
      <c r="Q232">
        <f t="shared" si="37"/>
        <v>11.395148445047914</v>
      </c>
      <c r="R232">
        <f t="shared" si="38"/>
        <v>7.6559521633548329</v>
      </c>
      <c r="S232">
        <f t="shared" si="39"/>
        <v>3.6869728699375921</v>
      </c>
      <c r="T232">
        <f t="shared" si="40"/>
        <v>3.8488654463796115</v>
      </c>
      <c r="U232">
        <f t="shared" si="41"/>
        <v>3.2535185523670256</v>
      </c>
      <c r="V232">
        <f t="shared" si="42"/>
        <v>18.484476590855678</v>
      </c>
      <c r="W232">
        <f t="shared" si="43"/>
        <v>99.999999999999986</v>
      </c>
    </row>
    <row r="233" spans="1:23" x14ac:dyDescent="0.3">
      <c r="A233" t="s">
        <v>30</v>
      </c>
      <c r="B233">
        <v>2019</v>
      </c>
      <c r="C233" t="s">
        <v>39</v>
      </c>
      <c r="D233">
        <f>'All_India_Index_Upto_April23 (1'!D233+'All_India_Index_Upto_April23 (1'!G233+'All_India_Index_Upto_April23 (1'!H233+'All_India_Index_Upto_April23 (1'!I233+'All_India_Index_Upto_April23 (1'!J233+'All_India_Index_Upto_April23 (1'!K233+'All_India_Index_Upto_April23 (1'!L233+'All_India_Index_Upto_April23 (1'!M233+'All_India_Index_Upto_April23 (1'!N233+'All_India_Index_Upto_April23 (1'!O233+'All_India_Index_Upto_April23 (1'!P233</f>
        <v>1524.5</v>
      </c>
      <c r="E233">
        <f>'All_India_Index_Upto_April23 (1'!E233+'All_India_Index_Upto_April23 (1'!F233</f>
        <v>302.39999999999998</v>
      </c>
      <c r="F233">
        <v>164.5</v>
      </c>
      <c r="G233">
        <f>'All_India_Index_Upto_April23 (1'!R233+'All_India_Index_Upto_April23 (1'!S233+'All_India_Index_Upto_April23 (1'!T233</f>
        <v>449.1</v>
      </c>
      <c r="H233">
        <f>'All_India_Index_Upto_April23 (1'!U233+'All_India_Index_Upto_April23 (1'!W233</f>
        <v>150</v>
      </c>
      <c r="I233">
        <v>146.80000000000001</v>
      </c>
      <c r="J233">
        <v>152.19999999999999</v>
      </c>
      <c r="K233">
        <v>131.19999999999999</v>
      </c>
      <c r="L233">
        <f>'All_India_Index_Upto_April23 (1'!Z233+'All_India_Index_Upto_April23 (1'!AA233+'All_India_Index_Upto_April23 (1'!AB233+'All_India_Index_Upto_April23 (1'!AC233+'All_India_Index_Upto_April23 (1'!AD233</f>
        <v>731.80000000000007</v>
      </c>
      <c r="M233">
        <f t="shared" si="33"/>
        <v>3752.5</v>
      </c>
      <c r="N233">
        <f t="shared" si="34"/>
        <v>40.62624916722185</v>
      </c>
      <c r="O233">
        <f t="shared" si="35"/>
        <v>8.0586275816122583</v>
      </c>
      <c r="P233">
        <f t="shared" si="36"/>
        <v>4.3837441705529647</v>
      </c>
      <c r="Q233">
        <f t="shared" si="37"/>
        <v>11.968021319120586</v>
      </c>
      <c r="R233">
        <f t="shared" si="38"/>
        <v>3.9973351099267154</v>
      </c>
      <c r="S233">
        <f t="shared" si="39"/>
        <v>3.9120586275816125</v>
      </c>
      <c r="T233">
        <f t="shared" si="40"/>
        <v>4.0559626915389737</v>
      </c>
      <c r="U233">
        <f t="shared" si="41"/>
        <v>3.4963357761492335</v>
      </c>
      <c r="V233">
        <f t="shared" si="42"/>
        <v>19.501665556295805</v>
      </c>
      <c r="W233">
        <f t="shared" si="43"/>
        <v>100</v>
      </c>
    </row>
    <row r="234" spans="1:23" x14ac:dyDescent="0.3">
      <c r="A234" t="s">
        <v>32</v>
      </c>
      <c r="B234">
        <v>2019</v>
      </c>
      <c r="C234" t="s">
        <v>39</v>
      </c>
      <c r="D234">
        <f>'All_India_Index_Upto_April23 (1'!D234+'All_India_Index_Upto_April23 (1'!G234+'All_India_Index_Upto_April23 (1'!H234+'All_India_Index_Upto_April23 (1'!I234+'All_India_Index_Upto_April23 (1'!J234+'All_India_Index_Upto_April23 (1'!K234+'All_India_Index_Upto_April23 (1'!L234+'All_India_Index_Upto_April23 (1'!M234+'All_India_Index_Upto_April23 (1'!N234+'All_India_Index_Upto_April23 (1'!O234+'All_India_Index_Upto_April23 (1'!P234</f>
        <v>1554.6999999999998</v>
      </c>
      <c r="E234">
        <f>'All_India_Index_Upto_April23 (1'!E234+'All_India_Index_Upto_April23 (1'!F234</f>
        <v>302.7</v>
      </c>
      <c r="F234">
        <v>167.2</v>
      </c>
      <c r="G234">
        <f>'All_India_Index_Upto_April23 (1'!R234+'All_India_Index_Upto_April23 (1'!S234+'All_India_Index_Upto_April23 (1'!T234</f>
        <v>419.3</v>
      </c>
      <c r="H234">
        <f>'All_India_Index_Upto_April23 (1'!U234+'All_India_Index_Upto_April23 (1'!W234</f>
        <v>288.29999999999995</v>
      </c>
      <c r="I234">
        <v>127</v>
      </c>
      <c r="J234">
        <v>140.80000000000001</v>
      </c>
      <c r="K234">
        <v>120.6</v>
      </c>
      <c r="L234">
        <f>'All_India_Index_Upto_April23 (1'!Z234+'All_India_Index_Upto_April23 (1'!AA234+'All_India_Index_Upto_April23 (1'!AB234+'All_India_Index_Upto_April23 (1'!AC234+'All_India_Index_Upto_April23 (1'!AD234</f>
        <v>698.3</v>
      </c>
      <c r="M234">
        <f t="shared" si="33"/>
        <v>3818.8999999999996</v>
      </c>
      <c r="N234">
        <f t="shared" si="34"/>
        <v>40.710675849066483</v>
      </c>
      <c r="O234">
        <f t="shared" si="35"/>
        <v>7.9263662311136729</v>
      </c>
      <c r="P234">
        <f t="shared" si="36"/>
        <v>4.3782240959438585</v>
      </c>
      <c r="Q234">
        <f t="shared" si="37"/>
        <v>10.979601455916626</v>
      </c>
      <c r="R234">
        <f t="shared" si="38"/>
        <v>7.5492942994055872</v>
      </c>
      <c r="S234">
        <f t="shared" si="39"/>
        <v>3.3255649532587923</v>
      </c>
      <c r="T234">
        <f t="shared" si="40"/>
        <v>3.6869255544790391</v>
      </c>
      <c r="U234">
        <f t="shared" si="41"/>
        <v>3.1579774280551995</v>
      </c>
      <c r="V234">
        <f t="shared" si="42"/>
        <v>18.285370132760743</v>
      </c>
      <c r="W234">
        <f t="shared" si="43"/>
        <v>100.00000000000001</v>
      </c>
    </row>
    <row r="235" spans="1:23" x14ac:dyDescent="0.3">
      <c r="A235" t="s">
        <v>33</v>
      </c>
      <c r="B235">
        <v>2019</v>
      </c>
      <c r="C235" t="s">
        <v>39</v>
      </c>
      <c r="D235">
        <f>'All_India_Index_Upto_April23 (1'!D235+'All_India_Index_Upto_April23 (1'!G235+'All_India_Index_Upto_April23 (1'!H235+'All_India_Index_Upto_April23 (1'!I235+'All_India_Index_Upto_April23 (1'!J235+'All_India_Index_Upto_April23 (1'!K235+'All_India_Index_Upto_April23 (1'!L235+'All_India_Index_Upto_April23 (1'!M235+'All_India_Index_Upto_April23 (1'!N235+'All_India_Index_Upto_April23 (1'!O235+'All_India_Index_Upto_April23 (1'!P235</f>
        <v>1534.8000000000002</v>
      </c>
      <c r="E235">
        <f>'All_India_Index_Upto_April23 (1'!E235+'All_India_Index_Upto_April23 (1'!F235</f>
        <v>302.7</v>
      </c>
      <c r="F235">
        <v>165.2</v>
      </c>
      <c r="G235">
        <f>'All_India_Index_Upto_April23 (1'!R235+'All_India_Index_Upto_April23 (1'!S235+'All_India_Index_Upto_April23 (1'!T235</f>
        <v>437</v>
      </c>
      <c r="H235">
        <f>'All_India_Index_Upto_April23 (1'!U235+'All_India_Index_Upto_April23 (1'!W235</f>
        <v>294.79999999999995</v>
      </c>
      <c r="I235">
        <v>139.30000000000001</v>
      </c>
      <c r="J235">
        <v>147.9</v>
      </c>
      <c r="K235">
        <v>125.6</v>
      </c>
      <c r="L235">
        <f>'All_India_Index_Upto_April23 (1'!Z235+'All_India_Index_Upto_April23 (1'!AA235+'All_India_Index_Upto_April23 (1'!AB235+'All_India_Index_Upto_April23 (1'!AC235+'All_India_Index_Upto_April23 (1'!AD235</f>
        <v>713.90000000000009</v>
      </c>
      <c r="M235">
        <f t="shared" si="33"/>
        <v>3861.2000000000003</v>
      </c>
      <c r="N235">
        <f t="shared" si="34"/>
        <v>39.749300735522638</v>
      </c>
      <c r="O235">
        <f t="shared" si="35"/>
        <v>7.8395317517870087</v>
      </c>
      <c r="P235">
        <f t="shared" si="36"/>
        <v>4.2784626540971713</v>
      </c>
      <c r="Q235">
        <f t="shared" si="37"/>
        <v>11.317725059566973</v>
      </c>
      <c r="R235">
        <f t="shared" si="38"/>
        <v>7.63493214544701</v>
      </c>
      <c r="S235">
        <f t="shared" si="39"/>
        <v>3.6076867295141408</v>
      </c>
      <c r="T235">
        <f t="shared" si="40"/>
        <v>3.8304154148969234</v>
      </c>
      <c r="U235">
        <f t="shared" si="41"/>
        <v>3.252874753962498</v>
      </c>
      <c r="V235">
        <f t="shared" si="42"/>
        <v>18.489070755205635</v>
      </c>
      <c r="W235">
        <f t="shared" si="43"/>
        <v>99.999999999999986</v>
      </c>
    </row>
    <row r="236" spans="1:23" x14ac:dyDescent="0.3">
      <c r="A236" t="s">
        <v>30</v>
      </c>
      <c r="B236">
        <v>2019</v>
      </c>
      <c r="C236" t="s">
        <v>40</v>
      </c>
      <c r="D236">
        <f>'All_India_Index_Upto_April23 (1'!D236+'All_India_Index_Upto_April23 (1'!G236+'All_India_Index_Upto_April23 (1'!H236+'All_India_Index_Upto_April23 (1'!I236+'All_India_Index_Upto_April23 (1'!J236+'All_India_Index_Upto_April23 (1'!K236+'All_India_Index_Upto_April23 (1'!L236+'All_India_Index_Upto_April23 (1'!M236+'All_India_Index_Upto_April23 (1'!N236+'All_India_Index_Upto_April23 (1'!O236+'All_India_Index_Upto_April23 (1'!P236</f>
        <v>1535.5000000000002</v>
      </c>
      <c r="E236">
        <f>'All_India_Index_Upto_April23 (1'!E236+'All_India_Index_Upto_April23 (1'!F236</f>
        <v>299</v>
      </c>
      <c r="F236">
        <v>165.1</v>
      </c>
      <c r="G236">
        <f>'All_India_Index_Upto_April23 (1'!R236+'All_India_Index_Upto_April23 (1'!S236+'All_India_Index_Upto_April23 (1'!T236</f>
        <v>449.5</v>
      </c>
      <c r="H236">
        <f>'All_India_Index_Upto_April23 (1'!U236+'All_India_Index_Upto_April23 (1'!W236</f>
        <v>150.19999999999999</v>
      </c>
      <c r="I236">
        <v>146.4</v>
      </c>
      <c r="J236">
        <v>152.69999999999999</v>
      </c>
      <c r="K236">
        <v>131.4</v>
      </c>
      <c r="L236">
        <f>'All_India_Index_Upto_April23 (1'!Z236+'All_India_Index_Upto_April23 (1'!AA236+'All_India_Index_Upto_April23 (1'!AB236+'All_India_Index_Upto_April23 (1'!AC236+'All_India_Index_Upto_April23 (1'!AD236</f>
        <v>737.09999999999991</v>
      </c>
      <c r="M236">
        <f t="shared" si="33"/>
        <v>3766.9</v>
      </c>
      <c r="N236">
        <f t="shared" si="34"/>
        <v>40.762961586450402</v>
      </c>
      <c r="O236">
        <f t="shared" si="35"/>
        <v>7.9375613900023883</v>
      </c>
      <c r="P236">
        <f t="shared" si="36"/>
        <v>4.3829143327404489</v>
      </c>
      <c r="Q236">
        <f t="shared" si="37"/>
        <v>11.932889113063792</v>
      </c>
      <c r="R236">
        <f t="shared" si="38"/>
        <v>3.9873636146433404</v>
      </c>
      <c r="S236">
        <f t="shared" si="39"/>
        <v>3.8864849080145483</v>
      </c>
      <c r="T236">
        <f t="shared" si="40"/>
        <v>4.053731184793862</v>
      </c>
      <c r="U236">
        <f t="shared" si="41"/>
        <v>3.4882794871114182</v>
      </c>
      <c r="V236">
        <f t="shared" si="42"/>
        <v>19.567814383179797</v>
      </c>
      <c r="W236">
        <f t="shared" si="43"/>
        <v>99.999999999999986</v>
      </c>
    </row>
    <row r="237" spans="1:23" x14ac:dyDescent="0.3">
      <c r="A237" t="s">
        <v>32</v>
      </c>
      <c r="B237">
        <v>2019</v>
      </c>
      <c r="C237" t="s">
        <v>40</v>
      </c>
      <c r="D237">
        <f>'All_India_Index_Upto_April23 (1'!D237+'All_India_Index_Upto_April23 (1'!G237+'All_India_Index_Upto_April23 (1'!H237+'All_India_Index_Upto_April23 (1'!I237+'All_India_Index_Upto_April23 (1'!J237+'All_India_Index_Upto_April23 (1'!K237+'All_India_Index_Upto_April23 (1'!L237+'All_India_Index_Upto_April23 (1'!M237+'All_India_Index_Upto_April23 (1'!N237+'All_India_Index_Upto_April23 (1'!O237+'All_India_Index_Upto_April23 (1'!P237</f>
        <v>1570</v>
      </c>
      <c r="E237">
        <f>'All_India_Index_Upto_April23 (1'!E237+'All_India_Index_Upto_April23 (1'!F237</f>
        <v>299.10000000000002</v>
      </c>
      <c r="F237">
        <v>167.9</v>
      </c>
      <c r="G237">
        <f>'All_India_Index_Upto_April23 (1'!R237+'All_India_Index_Upto_April23 (1'!S237+'All_India_Index_Upto_April23 (1'!T237</f>
        <v>420.2</v>
      </c>
      <c r="H237">
        <f>'All_India_Index_Upto_April23 (1'!U237+'All_India_Index_Upto_April23 (1'!W237</f>
        <v>289.7</v>
      </c>
      <c r="I237">
        <v>125.5</v>
      </c>
      <c r="J237">
        <v>141.5</v>
      </c>
      <c r="K237">
        <v>120.8</v>
      </c>
      <c r="L237">
        <f>'All_India_Index_Upto_April23 (1'!Z237+'All_India_Index_Upto_April23 (1'!AA237+'All_India_Index_Upto_April23 (1'!AB237+'All_India_Index_Upto_April23 (1'!AC237+'All_India_Index_Upto_April23 (1'!AD237</f>
        <v>704.2</v>
      </c>
      <c r="M237">
        <f t="shared" si="33"/>
        <v>3838.8999999999996</v>
      </c>
      <c r="N237">
        <f t="shared" si="34"/>
        <v>40.897131990934909</v>
      </c>
      <c r="O237">
        <f t="shared" si="35"/>
        <v>7.7912943812029498</v>
      </c>
      <c r="P237">
        <f t="shared" si="36"/>
        <v>4.3736487014509366</v>
      </c>
      <c r="Q237">
        <f t="shared" si="37"/>
        <v>10.945843861522834</v>
      </c>
      <c r="R237">
        <f t="shared" si="38"/>
        <v>7.5464325718304721</v>
      </c>
      <c r="S237">
        <f t="shared" si="39"/>
        <v>3.2691656464091281</v>
      </c>
      <c r="T237">
        <f t="shared" si="40"/>
        <v>3.6859517049154711</v>
      </c>
      <c r="U237">
        <f t="shared" si="41"/>
        <v>3.1467347417228897</v>
      </c>
      <c r="V237">
        <f t="shared" si="42"/>
        <v>18.343796400010422</v>
      </c>
      <c r="W237">
        <f t="shared" si="43"/>
        <v>100.00000000000003</v>
      </c>
    </row>
    <row r="238" spans="1:23" x14ac:dyDescent="0.3">
      <c r="A238" t="s">
        <v>33</v>
      </c>
      <c r="B238">
        <v>2019</v>
      </c>
      <c r="C238" t="s">
        <v>40</v>
      </c>
      <c r="D238">
        <f>'All_India_Index_Upto_April23 (1'!D238+'All_India_Index_Upto_April23 (1'!G238+'All_India_Index_Upto_April23 (1'!H238+'All_India_Index_Upto_April23 (1'!I238+'All_India_Index_Upto_April23 (1'!J238+'All_India_Index_Upto_April23 (1'!K238+'All_India_Index_Upto_April23 (1'!L238+'All_India_Index_Upto_April23 (1'!M238+'All_India_Index_Upto_April23 (1'!N238+'All_India_Index_Upto_April23 (1'!O238+'All_India_Index_Upto_April23 (1'!P238</f>
        <v>1547.3999999999999</v>
      </c>
      <c r="E238">
        <f>'All_India_Index_Upto_April23 (1'!E238+'All_India_Index_Upto_April23 (1'!F238</f>
        <v>299.10000000000002</v>
      </c>
      <c r="F238">
        <v>165.8</v>
      </c>
      <c r="G238">
        <f>'All_India_Index_Upto_April23 (1'!R238+'All_India_Index_Upto_April23 (1'!S238+'All_India_Index_Upto_April23 (1'!T238</f>
        <v>437.6</v>
      </c>
      <c r="H238">
        <f>'All_India_Index_Upto_April23 (1'!U238+'All_India_Index_Upto_April23 (1'!W238</f>
        <v>296.10000000000002</v>
      </c>
      <c r="I238">
        <v>138.5</v>
      </c>
      <c r="J238">
        <v>148.5</v>
      </c>
      <c r="K238">
        <v>125.8</v>
      </c>
      <c r="L238">
        <f>'All_India_Index_Upto_April23 (1'!Z238+'All_India_Index_Upto_April23 (1'!AA238+'All_India_Index_Upto_April23 (1'!AB238+'All_India_Index_Upto_April23 (1'!AC238+'All_India_Index_Upto_April23 (1'!AD238</f>
        <v>719.40000000000009</v>
      </c>
      <c r="M238">
        <f t="shared" si="33"/>
        <v>3878.2000000000003</v>
      </c>
      <c r="N238">
        <f t="shared" si="34"/>
        <v>39.899953586715483</v>
      </c>
      <c r="O238">
        <f t="shared" si="35"/>
        <v>7.7123407766489613</v>
      </c>
      <c r="P238">
        <f t="shared" si="36"/>
        <v>4.2751792068485379</v>
      </c>
      <c r="Q238">
        <f t="shared" si="37"/>
        <v>11.283585168377082</v>
      </c>
      <c r="R238">
        <f t="shared" si="38"/>
        <v>7.6349853024599037</v>
      </c>
      <c r="S238">
        <f t="shared" si="39"/>
        <v>3.5712443917281211</v>
      </c>
      <c r="T238">
        <f t="shared" si="40"/>
        <v>3.8290959723583105</v>
      </c>
      <c r="U238">
        <f t="shared" si="41"/>
        <v>3.2437728843277807</v>
      </c>
      <c r="V238">
        <f t="shared" si="42"/>
        <v>18.549842710535817</v>
      </c>
      <c r="W238">
        <f t="shared" si="43"/>
        <v>99.999999999999986</v>
      </c>
    </row>
    <row r="239" spans="1:23" x14ac:dyDescent="0.3">
      <c r="A239" t="s">
        <v>30</v>
      </c>
      <c r="B239">
        <v>2019</v>
      </c>
      <c r="C239" t="s">
        <v>41</v>
      </c>
      <c r="D239">
        <f>'All_India_Index_Upto_April23 (1'!D239+'All_India_Index_Upto_April23 (1'!G239+'All_India_Index_Upto_April23 (1'!H239+'All_India_Index_Upto_April23 (1'!I239+'All_India_Index_Upto_April23 (1'!J239+'All_India_Index_Upto_April23 (1'!K239+'All_India_Index_Upto_April23 (1'!L239+'All_India_Index_Upto_April23 (1'!M239+'All_India_Index_Upto_April23 (1'!N239+'All_India_Index_Upto_April23 (1'!O239+'All_India_Index_Upto_April23 (1'!P239</f>
        <v>1548.5</v>
      </c>
      <c r="E239">
        <f>'All_India_Index_Upto_April23 (1'!E239+'All_India_Index_Upto_April23 (1'!F239</f>
        <v>300.20000000000005</v>
      </c>
      <c r="F239">
        <v>165.7</v>
      </c>
      <c r="G239">
        <f>'All_India_Index_Upto_April23 (1'!R239+'All_India_Index_Upto_April23 (1'!S239+'All_India_Index_Upto_April23 (1'!T239</f>
        <v>449.29999999999995</v>
      </c>
      <c r="H239">
        <f>'All_India_Index_Upto_April23 (1'!U239+'All_India_Index_Upto_April23 (1'!W239</f>
        <v>150.30000000000001</v>
      </c>
      <c r="I239">
        <v>146.9</v>
      </c>
      <c r="J239">
        <v>153.4</v>
      </c>
      <c r="K239">
        <v>131.6</v>
      </c>
      <c r="L239">
        <f>'All_India_Index_Upto_April23 (1'!Z239+'All_India_Index_Upto_April23 (1'!AA239+'All_India_Index_Upto_April23 (1'!AB239+'All_India_Index_Upto_April23 (1'!AC239+'All_India_Index_Upto_April23 (1'!AD239</f>
        <v>740.8</v>
      </c>
      <c r="M239">
        <f t="shared" si="33"/>
        <v>3786.7</v>
      </c>
      <c r="N239">
        <f t="shared" si="34"/>
        <v>40.893125940792778</v>
      </c>
      <c r="O239">
        <f t="shared" si="35"/>
        <v>7.927747114902159</v>
      </c>
      <c r="P239">
        <f t="shared" si="36"/>
        <v>4.3758417619563206</v>
      </c>
      <c r="Q239">
        <f t="shared" si="37"/>
        <v>11.865212454115721</v>
      </c>
      <c r="R239">
        <f t="shared" si="38"/>
        <v>3.969155201098582</v>
      </c>
      <c r="S239">
        <f t="shared" si="39"/>
        <v>3.8793672590910293</v>
      </c>
      <c r="T239">
        <f t="shared" si="40"/>
        <v>4.0510206776348801</v>
      </c>
      <c r="U239">
        <f t="shared" si="41"/>
        <v>3.475321520057042</v>
      </c>
      <c r="V239">
        <f t="shared" si="42"/>
        <v>19.563208070351493</v>
      </c>
      <c r="W239">
        <f t="shared" si="43"/>
        <v>100.00000000000001</v>
      </c>
    </row>
    <row r="240" spans="1:23" x14ac:dyDescent="0.3">
      <c r="A240" t="s">
        <v>32</v>
      </c>
      <c r="B240">
        <v>2019</v>
      </c>
      <c r="C240" t="s">
        <v>41</v>
      </c>
      <c r="D240">
        <f>'All_India_Index_Upto_April23 (1'!D240+'All_India_Index_Upto_April23 (1'!G240+'All_India_Index_Upto_April23 (1'!H240+'All_India_Index_Upto_April23 (1'!I240+'All_India_Index_Upto_April23 (1'!J240+'All_India_Index_Upto_April23 (1'!K240+'All_India_Index_Upto_April23 (1'!L240+'All_India_Index_Upto_April23 (1'!M240+'All_India_Index_Upto_April23 (1'!N240+'All_India_Index_Upto_April23 (1'!O240+'All_India_Index_Upto_April23 (1'!P240</f>
        <v>1574.6000000000001</v>
      </c>
      <c r="E240">
        <f>'All_India_Index_Upto_April23 (1'!E240+'All_India_Index_Upto_April23 (1'!F240</f>
        <v>300.29999999999995</v>
      </c>
      <c r="F240">
        <v>168.6</v>
      </c>
      <c r="G240">
        <f>'All_India_Index_Upto_April23 (1'!R240+'All_India_Index_Upto_April23 (1'!S240+'All_India_Index_Upto_April23 (1'!T240</f>
        <v>420.8</v>
      </c>
      <c r="H240">
        <f>'All_India_Index_Upto_April23 (1'!U240+'All_India_Index_Upto_April23 (1'!W240</f>
        <v>290.5</v>
      </c>
      <c r="I240">
        <v>126.6</v>
      </c>
      <c r="J240">
        <v>141.9</v>
      </c>
      <c r="K240">
        <v>121.2</v>
      </c>
      <c r="L240">
        <f>'All_India_Index_Upto_April23 (1'!Z240+'All_India_Index_Upto_April23 (1'!AA240+'All_India_Index_Upto_April23 (1'!AB240+'All_India_Index_Upto_April23 (1'!AC240+'All_India_Index_Upto_April23 (1'!AD240</f>
        <v>706.90000000000009</v>
      </c>
      <c r="M240">
        <f t="shared" si="33"/>
        <v>3851.4</v>
      </c>
      <c r="N240">
        <f t="shared" si="34"/>
        <v>40.883834449810465</v>
      </c>
      <c r="O240">
        <f t="shared" si="35"/>
        <v>7.7971646673936732</v>
      </c>
      <c r="P240">
        <f t="shared" si="36"/>
        <v>4.3776289141610834</v>
      </c>
      <c r="Q240">
        <f t="shared" si="37"/>
        <v>10.925897076387807</v>
      </c>
      <c r="R240">
        <f t="shared" si="38"/>
        <v>7.5427117411850233</v>
      </c>
      <c r="S240">
        <f t="shared" si="39"/>
        <v>3.2871163732668638</v>
      </c>
      <c r="T240">
        <f t="shared" si="40"/>
        <v>3.6843745131640446</v>
      </c>
      <c r="U240">
        <f t="shared" si="41"/>
        <v>3.1469076180090356</v>
      </c>
      <c r="V240">
        <f t="shared" si="42"/>
        <v>18.35436464662201</v>
      </c>
      <c r="W240">
        <f t="shared" si="43"/>
        <v>100.00000000000003</v>
      </c>
    </row>
    <row r="241" spans="1:23" x14ac:dyDescent="0.3">
      <c r="A241" t="s">
        <v>33</v>
      </c>
      <c r="B241">
        <v>2019</v>
      </c>
      <c r="C241" t="s">
        <v>41</v>
      </c>
      <c r="D241">
        <f>'All_India_Index_Upto_April23 (1'!D241+'All_India_Index_Upto_April23 (1'!G241+'All_India_Index_Upto_April23 (1'!H241+'All_India_Index_Upto_April23 (1'!I241+'All_India_Index_Upto_April23 (1'!J241+'All_India_Index_Upto_April23 (1'!K241+'All_India_Index_Upto_April23 (1'!L241+'All_India_Index_Upto_April23 (1'!M241+'All_India_Index_Upto_April23 (1'!N241+'All_India_Index_Upto_April23 (1'!O241+'All_India_Index_Upto_April23 (1'!P241</f>
        <v>1557.3</v>
      </c>
      <c r="E241">
        <f>'All_India_Index_Upto_April23 (1'!E241+'All_India_Index_Upto_April23 (1'!F241</f>
        <v>300.39999999999998</v>
      </c>
      <c r="F241">
        <v>166.5</v>
      </c>
      <c r="G241">
        <f>'All_India_Index_Upto_April23 (1'!R241+'All_India_Index_Upto_April23 (1'!S241+'All_India_Index_Upto_April23 (1'!T241</f>
        <v>437.69999999999993</v>
      </c>
      <c r="H241">
        <f>'All_India_Index_Upto_April23 (1'!U241+'All_India_Index_Upto_April23 (1'!W241</f>
        <v>296.79999999999995</v>
      </c>
      <c r="I241">
        <v>139.19999999999999</v>
      </c>
      <c r="J241">
        <v>149</v>
      </c>
      <c r="K241">
        <v>126.1</v>
      </c>
      <c r="L241">
        <f>'All_India_Index_Upto_April23 (1'!Z241+'All_India_Index_Upto_April23 (1'!AA241+'All_India_Index_Upto_April23 (1'!AB241+'All_India_Index_Upto_April23 (1'!AC241+'All_India_Index_Upto_April23 (1'!AD241</f>
        <v>722.7</v>
      </c>
      <c r="M241">
        <f t="shared" si="33"/>
        <v>3895.7</v>
      </c>
      <c r="N241">
        <f t="shared" si="34"/>
        <v>39.974844058834101</v>
      </c>
      <c r="O241">
        <f t="shared" si="35"/>
        <v>7.7110660471802248</v>
      </c>
      <c r="P241">
        <f t="shared" si="36"/>
        <v>4.2739430654311166</v>
      </c>
      <c r="Q241">
        <f t="shared" si="37"/>
        <v>11.235464743178374</v>
      </c>
      <c r="R241">
        <f t="shared" si="38"/>
        <v>7.618656467387118</v>
      </c>
      <c r="S241">
        <f t="shared" si="39"/>
        <v>3.5731704186667352</v>
      </c>
      <c r="T241">
        <f t="shared" si="40"/>
        <v>3.8247298303257438</v>
      </c>
      <c r="U241">
        <f t="shared" si="41"/>
        <v>3.2369022255307134</v>
      </c>
      <c r="V241">
        <f t="shared" si="42"/>
        <v>18.551223143465876</v>
      </c>
      <c r="W241">
        <f t="shared" si="43"/>
        <v>100</v>
      </c>
    </row>
    <row r="242" spans="1:23" x14ac:dyDescent="0.3">
      <c r="A242" t="s">
        <v>30</v>
      </c>
      <c r="B242">
        <v>2019</v>
      </c>
      <c r="C242" t="s">
        <v>42</v>
      </c>
      <c r="D242">
        <f>'All_India_Index_Upto_April23 (1'!D242+'All_India_Index_Upto_April23 (1'!G242+'All_India_Index_Upto_April23 (1'!H242+'All_India_Index_Upto_April23 (1'!I242+'All_India_Index_Upto_April23 (1'!J242+'All_India_Index_Upto_April23 (1'!K242+'All_India_Index_Upto_April23 (1'!L242+'All_India_Index_Upto_April23 (1'!M242+'All_India_Index_Upto_April23 (1'!N242+'All_India_Index_Upto_April23 (1'!O242+'All_India_Index_Upto_April23 (1'!P242</f>
        <v>1574.1</v>
      </c>
      <c r="E242">
        <f>'All_India_Index_Upto_April23 (1'!E242+'All_India_Index_Upto_April23 (1'!F242</f>
        <v>302.79999999999995</v>
      </c>
      <c r="F242">
        <v>166.3</v>
      </c>
      <c r="G242">
        <f>'All_India_Index_Upto_April23 (1'!R242+'All_India_Index_Upto_April23 (1'!S242+'All_India_Index_Upto_April23 (1'!T242</f>
        <v>449.4</v>
      </c>
      <c r="H242">
        <f>'All_India_Index_Upto_April23 (1'!U242+'All_India_Index_Upto_April23 (1'!W242</f>
        <v>150.6</v>
      </c>
      <c r="I242">
        <v>147.69999999999999</v>
      </c>
      <c r="J242">
        <v>153.69999999999999</v>
      </c>
      <c r="K242">
        <v>131.69999999999999</v>
      </c>
      <c r="L242">
        <f>'All_India_Index_Upto_April23 (1'!Z242+'All_India_Index_Upto_April23 (1'!AA242+'All_India_Index_Upto_April23 (1'!AB242+'All_India_Index_Upto_April23 (1'!AC242+'All_India_Index_Upto_April23 (1'!AD242</f>
        <v>743.7</v>
      </c>
      <c r="M242">
        <f t="shared" si="33"/>
        <v>3819.9999999999991</v>
      </c>
      <c r="N242">
        <f t="shared" si="34"/>
        <v>41.206806282722518</v>
      </c>
      <c r="O242">
        <f t="shared" si="35"/>
        <v>7.9267015706806294</v>
      </c>
      <c r="P242">
        <f t="shared" si="36"/>
        <v>4.3534031413612579</v>
      </c>
      <c r="Q242">
        <f t="shared" si="37"/>
        <v>11.764397905759164</v>
      </c>
      <c r="R242">
        <f t="shared" si="38"/>
        <v>3.9424083769633516</v>
      </c>
      <c r="S242">
        <f t="shared" si="39"/>
        <v>3.8664921465968596</v>
      </c>
      <c r="T242">
        <f t="shared" si="40"/>
        <v>4.023560209424085</v>
      </c>
      <c r="U242">
        <f t="shared" si="41"/>
        <v>3.4476439790575921</v>
      </c>
      <c r="V242">
        <f t="shared" si="42"/>
        <v>19.468586387434563</v>
      </c>
      <c r="W242">
        <f t="shared" si="43"/>
        <v>100.00000000000003</v>
      </c>
    </row>
    <row r="243" spans="1:23" x14ac:dyDescent="0.3">
      <c r="A243" t="s">
        <v>32</v>
      </c>
      <c r="B243">
        <v>2019</v>
      </c>
      <c r="C243" t="s">
        <v>42</v>
      </c>
      <c r="D243">
        <f>'All_India_Index_Upto_April23 (1'!D243+'All_India_Index_Upto_April23 (1'!G243+'All_India_Index_Upto_April23 (1'!H243+'All_India_Index_Upto_April23 (1'!I243+'All_India_Index_Upto_April23 (1'!J243+'All_India_Index_Upto_April23 (1'!K243+'All_India_Index_Upto_April23 (1'!L243+'All_India_Index_Upto_April23 (1'!M243+'All_India_Index_Upto_April23 (1'!N243+'All_India_Index_Upto_April23 (1'!O243+'All_India_Index_Upto_April23 (1'!P243</f>
        <v>1598.1000000000001</v>
      </c>
      <c r="E243">
        <f>'All_India_Index_Upto_April23 (1'!E243+'All_India_Index_Upto_April23 (1'!F243</f>
        <v>304.5</v>
      </c>
      <c r="F243">
        <v>169.3</v>
      </c>
      <c r="G243">
        <f>'All_India_Index_Upto_April23 (1'!R243+'All_India_Index_Upto_April23 (1'!S243+'All_India_Index_Upto_April23 (1'!T243</f>
        <v>422.20000000000005</v>
      </c>
      <c r="H243">
        <f>'All_India_Index_Upto_April23 (1'!U243+'All_India_Index_Upto_April23 (1'!W243</f>
        <v>291.7</v>
      </c>
      <c r="I243">
        <v>128.9</v>
      </c>
      <c r="J243">
        <v>142.4</v>
      </c>
      <c r="K243">
        <v>121.5</v>
      </c>
      <c r="L243">
        <f>'All_India_Index_Upto_April23 (1'!Z243+'All_India_Index_Upto_April23 (1'!AA243+'All_India_Index_Upto_April23 (1'!AB243+'All_India_Index_Upto_April23 (1'!AC243+'All_India_Index_Upto_April23 (1'!AD243</f>
        <v>709.4</v>
      </c>
      <c r="M243">
        <f t="shared" si="33"/>
        <v>3888.0000000000005</v>
      </c>
      <c r="N243">
        <f t="shared" si="34"/>
        <v>41.103395061728392</v>
      </c>
      <c r="O243">
        <f t="shared" si="35"/>
        <v>7.8317901234567886</v>
      </c>
      <c r="P243">
        <f t="shared" si="36"/>
        <v>4.3544238683127565</v>
      </c>
      <c r="Q243">
        <f t="shared" si="37"/>
        <v>10.859053497942387</v>
      </c>
      <c r="R243">
        <f t="shared" si="38"/>
        <v>7.5025720164609035</v>
      </c>
      <c r="S243">
        <f t="shared" si="39"/>
        <v>3.3153292181069958</v>
      </c>
      <c r="T243">
        <f t="shared" si="40"/>
        <v>3.6625514403292176</v>
      </c>
      <c r="U243">
        <f t="shared" si="41"/>
        <v>3.1249999999999996</v>
      </c>
      <c r="V243">
        <f t="shared" si="42"/>
        <v>18.245884773662549</v>
      </c>
      <c r="W243">
        <f t="shared" si="43"/>
        <v>100</v>
      </c>
    </row>
    <row r="244" spans="1:23" x14ac:dyDescent="0.3">
      <c r="A244" t="s">
        <v>33</v>
      </c>
      <c r="B244">
        <v>2019</v>
      </c>
      <c r="C244" t="s">
        <v>42</v>
      </c>
      <c r="D244">
        <f>'All_India_Index_Upto_April23 (1'!D244+'All_India_Index_Upto_April23 (1'!G244+'All_India_Index_Upto_April23 (1'!H244+'All_India_Index_Upto_April23 (1'!I244+'All_India_Index_Upto_April23 (1'!J244+'All_India_Index_Upto_April23 (1'!K244+'All_India_Index_Upto_April23 (1'!L244+'All_India_Index_Upto_April23 (1'!M244+'All_India_Index_Upto_April23 (1'!N244+'All_India_Index_Upto_April23 (1'!O244+'All_India_Index_Upto_April23 (1'!P244</f>
        <v>1581.9999999999998</v>
      </c>
      <c r="E244">
        <f>'All_India_Index_Upto_April23 (1'!E244+'All_India_Index_Upto_April23 (1'!F244</f>
        <v>303.60000000000002</v>
      </c>
      <c r="F244">
        <v>167.1</v>
      </c>
      <c r="G244">
        <f>'All_India_Index_Upto_April23 (1'!R244+'All_India_Index_Upto_April23 (1'!S244+'All_India_Index_Upto_April23 (1'!T244</f>
        <v>438.40000000000003</v>
      </c>
      <c r="H244">
        <f>'All_India_Index_Upto_April23 (1'!U244+'All_India_Index_Upto_April23 (1'!W244</f>
        <v>298</v>
      </c>
      <c r="I244">
        <v>140.6</v>
      </c>
      <c r="J244">
        <v>149.4</v>
      </c>
      <c r="K244">
        <v>126.3</v>
      </c>
      <c r="L244">
        <f>'All_India_Index_Upto_April23 (1'!Z244+'All_India_Index_Upto_April23 (1'!AA244+'All_India_Index_Upto_April23 (1'!AB244+'All_India_Index_Upto_April23 (1'!AC244+'All_India_Index_Upto_April23 (1'!AD244</f>
        <v>725.3</v>
      </c>
      <c r="M244">
        <f t="shared" si="33"/>
        <v>3930.7</v>
      </c>
      <c r="N244">
        <f t="shared" si="34"/>
        <v>40.247284198743223</v>
      </c>
      <c r="O244">
        <f t="shared" si="35"/>
        <v>7.7238150965476899</v>
      </c>
      <c r="P244">
        <f t="shared" si="36"/>
        <v>4.2511511944437377</v>
      </c>
      <c r="Q244">
        <f t="shared" si="37"/>
        <v>11.153229704632764</v>
      </c>
      <c r="R244">
        <f t="shared" si="38"/>
        <v>7.5813468338972703</v>
      </c>
      <c r="S244">
        <f t="shared" si="39"/>
        <v>3.576971022973007</v>
      </c>
      <c r="T244">
        <f t="shared" si="40"/>
        <v>3.8008497214236652</v>
      </c>
      <c r="U244">
        <f t="shared" si="41"/>
        <v>3.2131681379906887</v>
      </c>
      <c r="V244">
        <f t="shared" si="42"/>
        <v>18.452184089347952</v>
      </c>
      <c r="W244">
        <f t="shared" si="43"/>
        <v>100</v>
      </c>
    </row>
    <row r="245" spans="1:23" x14ac:dyDescent="0.3">
      <c r="A245" t="s">
        <v>30</v>
      </c>
      <c r="B245">
        <v>2019</v>
      </c>
      <c r="C245" t="s">
        <v>44</v>
      </c>
      <c r="D245">
        <f>'All_India_Index_Upto_April23 (1'!D245+'All_India_Index_Upto_April23 (1'!G245+'All_India_Index_Upto_April23 (1'!H245+'All_India_Index_Upto_April23 (1'!I245+'All_India_Index_Upto_April23 (1'!J245+'All_India_Index_Upto_April23 (1'!K245+'All_India_Index_Upto_April23 (1'!L245+'All_India_Index_Upto_April23 (1'!M245+'All_India_Index_Upto_April23 (1'!N245+'All_India_Index_Upto_April23 (1'!O245+'All_India_Index_Upto_April23 (1'!P245</f>
        <v>1597.1</v>
      </c>
      <c r="E245">
        <f>'All_India_Index_Upto_April23 (1'!E245+'All_India_Index_Upto_April23 (1'!F245</f>
        <v>307.5</v>
      </c>
      <c r="F245">
        <v>167.2</v>
      </c>
      <c r="G245">
        <f>'All_India_Index_Upto_April23 (1'!R245+'All_India_Index_Upto_April23 (1'!S245+'All_India_Index_Upto_April23 (1'!T245</f>
        <v>450.8</v>
      </c>
      <c r="H245">
        <f>'All_India_Index_Upto_April23 (1'!U245+'All_India_Index_Upto_April23 (1'!W245</f>
        <v>150.9</v>
      </c>
      <c r="I245">
        <v>148.4</v>
      </c>
      <c r="J245">
        <v>154.30000000000001</v>
      </c>
      <c r="K245">
        <v>132.1</v>
      </c>
      <c r="L245">
        <f>'All_India_Index_Upto_April23 (1'!Z245+'All_India_Index_Upto_April23 (1'!AA245+'All_India_Index_Upto_April23 (1'!AB245+'All_India_Index_Upto_April23 (1'!AC245+'All_India_Index_Upto_April23 (1'!AD245</f>
        <v>746.5</v>
      </c>
      <c r="M245">
        <f t="shared" si="33"/>
        <v>3854.8</v>
      </c>
      <c r="N245">
        <f t="shared" si="34"/>
        <v>41.431462073259304</v>
      </c>
      <c r="O245">
        <f t="shared" si="35"/>
        <v>7.977067552142783</v>
      </c>
      <c r="P245">
        <f t="shared" si="36"/>
        <v>4.3374494137179616</v>
      </c>
      <c r="Q245">
        <f t="shared" si="37"/>
        <v>11.694510739856803</v>
      </c>
      <c r="R245">
        <f t="shared" si="38"/>
        <v>3.9145999792466539</v>
      </c>
      <c r="S245">
        <f t="shared" si="39"/>
        <v>3.8497457715056553</v>
      </c>
      <c r="T245">
        <f t="shared" si="40"/>
        <v>4.0028017017744109</v>
      </c>
      <c r="U245">
        <f t="shared" si="41"/>
        <v>3.4268963370343464</v>
      </c>
      <c r="V245">
        <f t="shared" si="42"/>
        <v>19.365466431462071</v>
      </c>
      <c r="W245">
        <f t="shared" si="43"/>
        <v>100</v>
      </c>
    </row>
    <row r="246" spans="1:23" x14ac:dyDescent="0.3">
      <c r="A246" t="s">
        <v>32</v>
      </c>
      <c r="B246">
        <v>2019</v>
      </c>
      <c r="C246" t="s">
        <v>44</v>
      </c>
      <c r="D246">
        <f>'All_India_Index_Upto_April23 (1'!D246+'All_India_Index_Upto_April23 (1'!G246+'All_India_Index_Upto_April23 (1'!H246+'All_India_Index_Upto_April23 (1'!I246+'All_India_Index_Upto_April23 (1'!J246+'All_India_Index_Upto_April23 (1'!K246+'All_India_Index_Upto_April23 (1'!L246+'All_India_Index_Upto_April23 (1'!M246+'All_India_Index_Upto_April23 (1'!N246+'All_India_Index_Upto_April23 (1'!O246+'All_India_Index_Upto_April23 (1'!P246</f>
        <v>1613.1999999999998</v>
      </c>
      <c r="E246">
        <f>'All_India_Index_Upto_April23 (1'!E246+'All_India_Index_Upto_April23 (1'!F246</f>
        <v>310.8</v>
      </c>
      <c r="F246">
        <v>169.9</v>
      </c>
      <c r="G246">
        <f>'All_India_Index_Upto_April23 (1'!R246+'All_India_Index_Upto_April23 (1'!S246+'All_India_Index_Upto_April23 (1'!T246</f>
        <v>423.09999999999997</v>
      </c>
      <c r="H246">
        <f>'All_India_Index_Upto_April23 (1'!U246+'All_India_Index_Upto_April23 (1'!W246</f>
        <v>292.60000000000002</v>
      </c>
      <c r="I246">
        <v>132.19999999999999</v>
      </c>
      <c r="J246">
        <v>142.80000000000001</v>
      </c>
      <c r="K246">
        <v>121.7</v>
      </c>
      <c r="L246">
        <f>'All_India_Index_Upto_April23 (1'!Z246+'All_India_Index_Upto_April23 (1'!AA246+'All_India_Index_Upto_April23 (1'!AB246+'All_India_Index_Upto_April23 (1'!AC246+'All_India_Index_Upto_April23 (1'!AD246</f>
        <v>711.6</v>
      </c>
      <c r="M246">
        <f t="shared" si="33"/>
        <v>3917.8999999999992</v>
      </c>
      <c r="N246">
        <f t="shared" si="34"/>
        <v>41.175119324127721</v>
      </c>
      <c r="O246">
        <f t="shared" si="35"/>
        <v>7.9328211541897469</v>
      </c>
      <c r="P246">
        <f t="shared" si="36"/>
        <v>4.3365068021133784</v>
      </c>
      <c r="Q246">
        <f t="shared" si="37"/>
        <v>10.799152607264096</v>
      </c>
      <c r="R246">
        <f t="shared" si="38"/>
        <v>7.4682865820975541</v>
      </c>
      <c r="S246">
        <f t="shared" si="39"/>
        <v>3.3742566170652646</v>
      </c>
      <c r="T246">
        <f t="shared" si="40"/>
        <v>3.6448097194925868</v>
      </c>
      <c r="U246">
        <f t="shared" si="41"/>
        <v>3.1062559023966929</v>
      </c>
      <c r="V246">
        <f t="shared" si="42"/>
        <v>18.162791291252972</v>
      </c>
      <c r="W246">
        <f t="shared" si="43"/>
        <v>100.00000000000001</v>
      </c>
    </row>
    <row r="247" spans="1:23" x14ac:dyDescent="0.3">
      <c r="A247" t="s">
        <v>33</v>
      </c>
      <c r="B247">
        <v>2019</v>
      </c>
      <c r="C247" t="s">
        <v>44</v>
      </c>
      <c r="D247">
        <f>'All_India_Index_Upto_April23 (1'!D247+'All_India_Index_Upto_April23 (1'!G247+'All_India_Index_Upto_April23 (1'!H247+'All_India_Index_Upto_April23 (1'!I247+'All_India_Index_Upto_April23 (1'!J247+'All_India_Index_Upto_April23 (1'!K247+'All_India_Index_Upto_April23 (1'!L247+'All_India_Index_Upto_April23 (1'!M247+'All_India_Index_Upto_April23 (1'!N247+'All_India_Index_Upto_April23 (1'!O247+'All_India_Index_Upto_April23 (1'!P247</f>
        <v>1602.1000000000001</v>
      </c>
      <c r="E247">
        <f>'All_India_Index_Upto_April23 (1'!E247+'All_India_Index_Upto_April23 (1'!F247</f>
        <v>308.79999999999995</v>
      </c>
      <c r="F247">
        <v>167.9</v>
      </c>
      <c r="G247">
        <f>'All_India_Index_Upto_April23 (1'!R247+'All_India_Index_Upto_April23 (1'!S247+'All_India_Index_Upto_April23 (1'!T247</f>
        <v>439.5</v>
      </c>
      <c r="H247">
        <f>'All_India_Index_Upto_April23 (1'!U247+'All_India_Index_Upto_April23 (1'!W247</f>
        <v>298.8</v>
      </c>
      <c r="I247">
        <v>142.30000000000001</v>
      </c>
      <c r="J247">
        <v>149.9</v>
      </c>
      <c r="K247">
        <v>126.6</v>
      </c>
      <c r="L247">
        <f>'All_India_Index_Upto_April23 (1'!Z247+'All_India_Index_Upto_April23 (1'!AA247+'All_India_Index_Upto_April23 (1'!AB247+'All_India_Index_Upto_April23 (1'!AC247+'All_India_Index_Upto_April23 (1'!AD247</f>
        <v>727.80000000000007</v>
      </c>
      <c r="M247">
        <f t="shared" si="33"/>
        <v>3963.7000000000007</v>
      </c>
      <c r="N247">
        <f t="shared" si="34"/>
        <v>40.419305194641368</v>
      </c>
      <c r="O247">
        <f t="shared" si="35"/>
        <v>7.790700608017759</v>
      </c>
      <c r="P247">
        <f t="shared" si="36"/>
        <v>4.2359411660821955</v>
      </c>
      <c r="Q247">
        <f t="shared" si="37"/>
        <v>11.088124731942376</v>
      </c>
      <c r="R247">
        <f t="shared" si="38"/>
        <v>7.5384110805560454</v>
      </c>
      <c r="S247">
        <f t="shared" si="39"/>
        <v>3.5900799757802049</v>
      </c>
      <c r="T247">
        <f t="shared" si="40"/>
        <v>3.7818200166511087</v>
      </c>
      <c r="U247">
        <f t="shared" si="41"/>
        <v>3.1939854176653117</v>
      </c>
      <c r="V247">
        <f t="shared" si="42"/>
        <v>18.361631808663621</v>
      </c>
      <c r="W247">
        <f t="shared" si="43"/>
        <v>99.999999999999986</v>
      </c>
    </row>
    <row r="248" spans="1:23" x14ac:dyDescent="0.3">
      <c r="A248" t="s">
        <v>30</v>
      </c>
      <c r="B248">
        <v>2019</v>
      </c>
      <c r="C248" t="s">
        <v>45</v>
      </c>
      <c r="D248">
        <f>'All_India_Index_Upto_April23 (1'!D248+'All_India_Index_Upto_April23 (1'!G248+'All_India_Index_Upto_April23 (1'!H248+'All_India_Index_Upto_April23 (1'!I248+'All_India_Index_Upto_April23 (1'!J248+'All_India_Index_Upto_April23 (1'!K248+'All_India_Index_Upto_April23 (1'!L248+'All_India_Index_Upto_April23 (1'!M248+'All_India_Index_Upto_April23 (1'!N248+'All_India_Index_Upto_April23 (1'!O248+'All_India_Index_Upto_April23 (1'!P248</f>
        <v>1626.1999999999996</v>
      </c>
      <c r="E248">
        <f>'All_India_Index_Upto_April23 (1'!E248+'All_India_Index_Upto_April23 (1'!F248</f>
        <v>314.8</v>
      </c>
      <c r="F248">
        <v>167.8</v>
      </c>
      <c r="G248">
        <f>'All_India_Index_Upto_April23 (1'!R248+'All_India_Index_Upto_April23 (1'!S248+'All_India_Index_Upto_April23 (1'!T248</f>
        <v>451.79999999999995</v>
      </c>
      <c r="H248">
        <f>'All_India_Index_Upto_April23 (1'!U248+'All_India_Index_Upto_April23 (1'!W248</f>
        <v>151.19999999999999</v>
      </c>
      <c r="I248">
        <v>149.9</v>
      </c>
      <c r="J248">
        <v>154.80000000000001</v>
      </c>
      <c r="K248">
        <v>135</v>
      </c>
      <c r="L248">
        <f>'All_India_Index_Upto_April23 (1'!Z248+'All_India_Index_Upto_April23 (1'!AA248+'All_India_Index_Upto_April23 (1'!AB248+'All_India_Index_Upto_April23 (1'!AC248+'All_India_Index_Upto_April23 (1'!AD248</f>
        <v>750.60000000000014</v>
      </c>
      <c r="M248">
        <f t="shared" si="33"/>
        <v>3902.0999999999995</v>
      </c>
      <c r="N248">
        <f t="shared" si="34"/>
        <v>41.674995515235381</v>
      </c>
      <c r="O248">
        <f t="shared" si="35"/>
        <v>8.0674508597934462</v>
      </c>
      <c r="P248">
        <f t="shared" si="36"/>
        <v>4.3002485840957441</v>
      </c>
      <c r="Q248">
        <f t="shared" si="37"/>
        <v>11.578380871838242</v>
      </c>
      <c r="R248">
        <f t="shared" si="38"/>
        <v>3.8748366264319221</v>
      </c>
      <c r="S248">
        <f t="shared" si="39"/>
        <v>3.841521232157044</v>
      </c>
      <c r="T248">
        <f t="shared" si="40"/>
        <v>3.9670946413469679</v>
      </c>
      <c r="U248">
        <f t="shared" si="41"/>
        <v>3.4596755593142161</v>
      </c>
      <c r="V248">
        <f t="shared" si="42"/>
        <v>19.235796109787042</v>
      </c>
      <c r="W248">
        <f t="shared" si="43"/>
        <v>100.00000000000003</v>
      </c>
    </row>
    <row r="249" spans="1:23" x14ac:dyDescent="0.3">
      <c r="A249" t="s">
        <v>32</v>
      </c>
      <c r="B249">
        <v>2019</v>
      </c>
      <c r="C249" t="s">
        <v>45</v>
      </c>
      <c r="D249">
        <f>'All_India_Index_Upto_April23 (1'!D249+'All_India_Index_Upto_April23 (1'!G249+'All_India_Index_Upto_April23 (1'!H249+'All_India_Index_Upto_April23 (1'!I249+'All_India_Index_Upto_April23 (1'!J249+'All_India_Index_Upto_April23 (1'!K249+'All_India_Index_Upto_April23 (1'!L249+'All_India_Index_Upto_April23 (1'!M249+'All_India_Index_Upto_April23 (1'!N249+'All_India_Index_Upto_April23 (1'!O249+'All_India_Index_Upto_April23 (1'!P249</f>
        <v>1638.5</v>
      </c>
      <c r="E249">
        <f>'All_India_Index_Upto_April23 (1'!E249+'All_India_Index_Upto_April23 (1'!F249</f>
        <v>318.2</v>
      </c>
      <c r="F249">
        <v>170.4</v>
      </c>
      <c r="G249">
        <f>'All_India_Index_Upto_April23 (1'!R249+'All_India_Index_Upto_April23 (1'!S249+'All_India_Index_Upto_April23 (1'!T249</f>
        <v>424.20000000000005</v>
      </c>
      <c r="H249">
        <f>'All_India_Index_Upto_April23 (1'!U249+'All_India_Index_Upto_April23 (1'!W249</f>
        <v>292.60000000000002</v>
      </c>
      <c r="I249">
        <v>133.6</v>
      </c>
      <c r="J249">
        <v>143.19999999999999</v>
      </c>
      <c r="K249">
        <v>125.2</v>
      </c>
      <c r="L249">
        <f>'All_India_Index_Upto_April23 (1'!Z249+'All_India_Index_Upto_April23 (1'!AA249+'All_India_Index_Upto_April23 (1'!AB249+'All_India_Index_Upto_April23 (1'!AC249+'All_India_Index_Upto_April23 (1'!AD249</f>
        <v>714.90000000000009</v>
      </c>
      <c r="M249">
        <f t="shared" si="33"/>
        <v>3960.7999999999997</v>
      </c>
      <c r="N249">
        <f t="shared" si="34"/>
        <v>41.367905473641692</v>
      </c>
      <c r="O249">
        <f t="shared" si="35"/>
        <v>8.0337305594829331</v>
      </c>
      <c r="P249">
        <f t="shared" si="36"/>
        <v>4.3021611795596852</v>
      </c>
      <c r="Q249">
        <f t="shared" si="37"/>
        <v>10.7099575843264</v>
      </c>
      <c r="R249">
        <f t="shared" si="38"/>
        <v>7.3873964855584742</v>
      </c>
      <c r="S249">
        <f t="shared" si="39"/>
        <v>3.373055948293274</v>
      </c>
      <c r="T249">
        <f t="shared" si="40"/>
        <v>3.6154312260149464</v>
      </c>
      <c r="U249">
        <f t="shared" si="41"/>
        <v>3.1609775802868114</v>
      </c>
      <c r="V249">
        <f t="shared" si="42"/>
        <v>18.049383962835794</v>
      </c>
      <c r="W249">
        <f t="shared" si="43"/>
        <v>100</v>
      </c>
    </row>
    <row r="250" spans="1:23" x14ac:dyDescent="0.3">
      <c r="A250" t="s">
        <v>33</v>
      </c>
      <c r="B250">
        <v>2019</v>
      </c>
      <c r="C250" t="s">
        <v>45</v>
      </c>
      <c r="D250">
        <f>'All_India_Index_Upto_April23 (1'!D250+'All_India_Index_Upto_April23 (1'!G250+'All_India_Index_Upto_April23 (1'!H250+'All_India_Index_Upto_April23 (1'!I250+'All_India_Index_Upto_April23 (1'!J250+'All_India_Index_Upto_April23 (1'!K250+'All_India_Index_Upto_April23 (1'!L250+'All_India_Index_Upto_April23 (1'!M250+'All_India_Index_Upto_April23 (1'!N250+'All_India_Index_Upto_April23 (1'!O250+'All_India_Index_Upto_April23 (1'!P250</f>
        <v>1630</v>
      </c>
      <c r="E250">
        <f>'All_India_Index_Upto_April23 (1'!E250+'All_India_Index_Upto_April23 (1'!F250</f>
        <v>316.10000000000002</v>
      </c>
      <c r="F250">
        <v>168.5</v>
      </c>
      <c r="G250">
        <f>'All_India_Index_Upto_April23 (1'!R250+'All_India_Index_Upto_April23 (1'!S250+'All_India_Index_Upto_April23 (1'!T250</f>
        <v>440.6</v>
      </c>
      <c r="H250">
        <f>'All_India_Index_Upto_April23 (1'!U250+'All_India_Index_Upto_April23 (1'!W250</f>
        <v>298.60000000000002</v>
      </c>
      <c r="I250">
        <v>143.69999999999999</v>
      </c>
      <c r="J250">
        <v>150.4</v>
      </c>
      <c r="K250">
        <v>129.80000000000001</v>
      </c>
      <c r="L250">
        <f>'All_India_Index_Upto_April23 (1'!Z250+'All_India_Index_Upto_April23 (1'!AA250+'All_India_Index_Upto_April23 (1'!AB250+'All_India_Index_Upto_April23 (1'!AC250+'All_India_Index_Upto_April23 (1'!AD250</f>
        <v>731.3</v>
      </c>
      <c r="M250">
        <f t="shared" si="33"/>
        <v>4009</v>
      </c>
      <c r="N250">
        <f t="shared" si="34"/>
        <v>40.658518333749065</v>
      </c>
      <c r="O250">
        <f t="shared" si="35"/>
        <v>7.8847592915939142</v>
      </c>
      <c r="P250">
        <f t="shared" si="36"/>
        <v>4.2030431529059618</v>
      </c>
      <c r="Q250">
        <f t="shared" si="37"/>
        <v>10.990271888251435</v>
      </c>
      <c r="R250">
        <f t="shared" si="38"/>
        <v>7.4482414567223749</v>
      </c>
      <c r="S250">
        <f t="shared" si="39"/>
        <v>3.5844350212022946</v>
      </c>
      <c r="T250">
        <f t="shared" si="40"/>
        <v>3.7515589922673986</v>
      </c>
      <c r="U250">
        <f t="shared" si="41"/>
        <v>3.2377151409329015</v>
      </c>
      <c r="V250">
        <f t="shared" si="42"/>
        <v>18.241456722374654</v>
      </c>
      <c r="W250">
        <f t="shared" si="43"/>
        <v>100.00000000000001</v>
      </c>
    </row>
    <row r="251" spans="1:23" x14ac:dyDescent="0.3">
      <c r="A251" t="s">
        <v>30</v>
      </c>
      <c r="B251">
        <v>2020</v>
      </c>
      <c r="C251" t="s">
        <v>31</v>
      </c>
      <c r="D251">
        <f>'All_India_Index_Upto_April23 (1'!D251+'All_India_Index_Upto_April23 (1'!G251+'All_India_Index_Upto_April23 (1'!H251+'All_India_Index_Upto_April23 (1'!I251+'All_India_Index_Upto_April23 (1'!J251+'All_India_Index_Upto_April23 (1'!K251+'All_India_Index_Upto_April23 (1'!L251+'All_India_Index_Upto_April23 (1'!M251+'All_India_Index_Upto_April23 (1'!N251+'All_India_Index_Upto_April23 (1'!O251+'All_India_Index_Upto_April23 (1'!P251</f>
        <v>1617.8</v>
      </c>
      <c r="E251">
        <f>'All_India_Index_Upto_April23 (1'!E251+'All_India_Index_Upto_April23 (1'!F251</f>
        <v>320.8</v>
      </c>
      <c r="F251">
        <v>168.6</v>
      </c>
      <c r="G251">
        <f>'All_India_Index_Upto_April23 (1'!R251+'All_India_Index_Upto_April23 (1'!S251+'All_India_Index_Upto_April23 (1'!T251</f>
        <v>452.30000000000007</v>
      </c>
      <c r="H251">
        <f>'All_India_Index_Upto_April23 (1'!U251+'All_India_Index_Upto_April23 (1'!W251</f>
        <v>151.69999999999999</v>
      </c>
      <c r="I251">
        <v>150.4</v>
      </c>
      <c r="J251">
        <v>155.69999999999999</v>
      </c>
      <c r="K251">
        <v>136.30000000000001</v>
      </c>
      <c r="L251">
        <f>'All_India_Index_Upto_April23 (1'!Z251+'All_India_Index_Upto_April23 (1'!AA251+'All_India_Index_Upto_April23 (1'!AB251+'All_India_Index_Upto_April23 (1'!AC251+'All_India_Index_Upto_April23 (1'!AD251</f>
        <v>754.3</v>
      </c>
      <c r="M251">
        <f t="shared" si="33"/>
        <v>3907.8999999999996</v>
      </c>
      <c r="N251">
        <f t="shared" si="34"/>
        <v>41.398193403106532</v>
      </c>
      <c r="O251">
        <f t="shared" si="35"/>
        <v>8.2090125131144607</v>
      </c>
      <c r="P251">
        <f t="shared" si="36"/>
        <v>4.3143376237877122</v>
      </c>
      <c r="Q251">
        <f t="shared" si="37"/>
        <v>11.573991146139875</v>
      </c>
      <c r="R251">
        <f t="shared" si="38"/>
        <v>3.8818802937639139</v>
      </c>
      <c r="S251">
        <f t="shared" si="39"/>
        <v>3.8486143453005455</v>
      </c>
      <c r="T251">
        <f t="shared" si="40"/>
        <v>3.9842370582665882</v>
      </c>
      <c r="U251">
        <f t="shared" si="41"/>
        <v>3.4878067504286197</v>
      </c>
      <c r="V251">
        <f t="shared" si="42"/>
        <v>19.301926866091765</v>
      </c>
      <c r="W251">
        <f t="shared" si="43"/>
        <v>100</v>
      </c>
    </row>
    <row r="252" spans="1:23" x14ac:dyDescent="0.3">
      <c r="A252" t="s">
        <v>32</v>
      </c>
      <c r="B252">
        <v>2020</v>
      </c>
      <c r="C252" t="s">
        <v>31</v>
      </c>
      <c r="D252">
        <f>'All_India_Index_Upto_April23 (1'!D252+'All_India_Index_Upto_April23 (1'!G252+'All_India_Index_Upto_April23 (1'!H252+'All_India_Index_Upto_April23 (1'!I252+'All_India_Index_Upto_April23 (1'!J252+'All_India_Index_Upto_April23 (1'!K252+'All_India_Index_Upto_April23 (1'!L252+'All_India_Index_Upto_April23 (1'!M252+'All_India_Index_Upto_April23 (1'!N252+'All_India_Index_Upto_April23 (1'!O252+'All_India_Index_Upto_April23 (1'!P252</f>
        <v>1620.8000000000002</v>
      </c>
      <c r="E252">
        <f>'All_India_Index_Upto_April23 (1'!E252+'All_India_Index_Upto_April23 (1'!F252</f>
        <v>324.60000000000002</v>
      </c>
      <c r="F252">
        <v>170.8</v>
      </c>
      <c r="G252">
        <f>'All_India_Index_Upto_April23 (1'!R252+'All_India_Index_Upto_April23 (1'!S252+'All_India_Index_Upto_April23 (1'!T252</f>
        <v>425.1</v>
      </c>
      <c r="H252">
        <f>'All_India_Index_Upto_April23 (1'!U252+'All_India_Index_Upto_April23 (1'!W252</f>
        <v>294</v>
      </c>
      <c r="I252">
        <v>135.1</v>
      </c>
      <c r="J252">
        <v>143.80000000000001</v>
      </c>
      <c r="K252">
        <v>126.1</v>
      </c>
      <c r="L252">
        <f>'All_India_Index_Upto_April23 (1'!Z252+'All_India_Index_Upto_April23 (1'!AA252+'All_India_Index_Upto_April23 (1'!AB252+'All_India_Index_Upto_April23 (1'!AC252+'All_India_Index_Upto_April23 (1'!AD252</f>
        <v>718</v>
      </c>
      <c r="M252">
        <f t="shared" si="33"/>
        <v>3958.3</v>
      </c>
      <c r="N252">
        <f t="shared" si="34"/>
        <v>40.946871131546374</v>
      </c>
      <c r="O252">
        <f t="shared" si="35"/>
        <v>8.2004901093903939</v>
      </c>
      <c r="P252">
        <f t="shared" si="36"/>
        <v>4.3149837051259379</v>
      </c>
      <c r="Q252">
        <f t="shared" si="37"/>
        <v>10.739458858600914</v>
      </c>
      <c r="R252">
        <f t="shared" si="38"/>
        <v>7.4274309678397294</v>
      </c>
      <c r="S252">
        <f t="shared" si="39"/>
        <v>3.4130813733168277</v>
      </c>
      <c r="T252">
        <f t="shared" si="40"/>
        <v>3.6328726978753507</v>
      </c>
      <c r="U252">
        <f t="shared" si="41"/>
        <v>3.185711037566632</v>
      </c>
      <c r="V252">
        <f t="shared" si="42"/>
        <v>18.13910011873784</v>
      </c>
      <c r="W252">
        <f t="shared" si="43"/>
        <v>100.00000000000001</v>
      </c>
    </row>
    <row r="253" spans="1:23" x14ac:dyDescent="0.3">
      <c r="A253" t="s">
        <v>33</v>
      </c>
      <c r="B253">
        <v>2020</v>
      </c>
      <c r="C253" t="s">
        <v>31</v>
      </c>
      <c r="D253">
        <f>'All_India_Index_Upto_April23 (1'!D253+'All_India_Index_Upto_April23 (1'!G253+'All_India_Index_Upto_April23 (1'!H253+'All_India_Index_Upto_April23 (1'!I253+'All_India_Index_Upto_April23 (1'!J253+'All_India_Index_Upto_April23 (1'!K253+'All_India_Index_Upto_April23 (1'!L253+'All_India_Index_Upto_April23 (1'!M253+'All_India_Index_Upto_April23 (1'!N253+'All_India_Index_Upto_April23 (1'!O253+'All_India_Index_Upto_April23 (1'!P253</f>
        <v>1618.1</v>
      </c>
      <c r="E253">
        <f>'All_India_Index_Upto_April23 (1'!E253+'All_India_Index_Upto_April23 (1'!F253</f>
        <v>322.3</v>
      </c>
      <c r="F253">
        <v>169.2</v>
      </c>
      <c r="G253">
        <f>'All_India_Index_Upto_April23 (1'!R253+'All_India_Index_Upto_April23 (1'!S253+'All_India_Index_Upto_April23 (1'!T253</f>
        <v>441.2</v>
      </c>
      <c r="H253">
        <f>'All_India_Index_Upto_April23 (1'!U253+'All_India_Index_Upto_April23 (1'!W253</f>
        <v>300.10000000000002</v>
      </c>
      <c r="I253">
        <v>144.6</v>
      </c>
      <c r="J253">
        <v>151.19999999999999</v>
      </c>
      <c r="K253">
        <v>130.9</v>
      </c>
      <c r="L253">
        <f>'All_India_Index_Upto_April23 (1'!Z253+'All_India_Index_Upto_April23 (1'!AA253+'All_India_Index_Upto_April23 (1'!AB253+'All_India_Index_Upto_April23 (1'!AC253+'All_India_Index_Upto_April23 (1'!AD253</f>
        <v>734.8</v>
      </c>
      <c r="M253">
        <f t="shared" si="33"/>
        <v>4012.3999999999996</v>
      </c>
      <c r="N253">
        <f t="shared" si="34"/>
        <v>40.327484797128903</v>
      </c>
      <c r="O253">
        <f t="shared" si="35"/>
        <v>8.0325989432758451</v>
      </c>
      <c r="P253">
        <f t="shared" si="36"/>
        <v>4.2169275246735127</v>
      </c>
      <c r="Q253">
        <f t="shared" si="37"/>
        <v>10.995912670720767</v>
      </c>
      <c r="R253">
        <f t="shared" si="38"/>
        <v>7.4793141262087541</v>
      </c>
      <c r="S253">
        <f t="shared" si="39"/>
        <v>3.6038281327883568</v>
      </c>
      <c r="T253">
        <f t="shared" si="40"/>
        <v>3.768318213538032</v>
      </c>
      <c r="U253">
        <f t="shared" si="41"/>
        <v>3.2623866015352414</v>
      </c>
      <c r="V253">
        <f t="shared" si="42"/>
        <v>18.313228990130597</v>
      </c>
      <c r="W253">
        <f t="shared" si="43"/>
        <v>100</v>
      </c>
    </row>
    <row r="254" spans="1:23" x14ac:dyDescent="0.3">
      <c r="A254" t="s">
        <v>30</v>
      </c>
      <c r="B254">
        <v>2020</v>
      </c>
      <c r="C254" t="s">
        <v>34</v>
      </c>
      <c r="D254">
        <f>'All_India_Index_Upto_April23 (1'!D254+'All_India_Index_Upto_April23 (1'!G254+'All_India_Index_Upto_April23 (1'!H254+'All_India_Index_Upto_April23 (1'!I254+'All_India_Index_Upto_April23 (1'!J254+'All_India_Index_Upto_April23 (1'!K254+'All_India_Index_Upto_April23 (1'!L254+'All_India_Index_Upto_April23 (1'!M254+'All_India_Index_Upto_April23 (1'!N254+'All_India_Index_Upto_April23 (1'!O254+'All_India_Index_Upto_April23 (1'!P254</f>
        <v>1591.4</v>
      </c>
      <c r="E254">
        <f>'All_India_Index_Upto_April23 (1'!E254+'All_India_Index_Upto_April23 (1'!F254</f>
        <v>318.39999999999998</v>
      </c>
      <c r="F254">
        <v>169.4</v>
      </c>
      <c r="G254">
        <f>'All_India_Index_Upto_April23 (1'!R254+'All_India_Index_Upto_April23 (1'!S254+'All_India_Index_Upto_April23 (1'!T254</f>
        <v>452.8</v>
      </c>
      <c r="H254">
        <f>'All_India_Index_Upto_April23 (1'!U254+'All_India_Index_Upto_April23 (1'!W254</f>
        <v>151.80000000000001</v>
      </c>
      <c r="I254">
        <v>152.30000000000001</v>
      </c>
      <c r="J254">
        <v>156.19999999999999</v>
      </c>
      <c r="K254">
        <v>136</v>
      </c>
      <c r="L254">
        <f>'All_India_Index_Upto_April23 (1'!Z254+'All_India_Index_Upto_April23 (1'!AA254+'All_India_Index_Upto_April23 (1'!AB254+'All_India_Index_Upto_April23 (1'!AC254+'All_India_Index_Upto_April23 (1'!AD254</f>
        <v>754.5</v>
      </c>
      <c r="M254">
        <f t="shared" si="33"/>
        <v>3882.8000000000006</v>
      </c>
      <c r="N254">
        <f t="shared" si="34"/>
        <v>40.985886473678782</v>
      </c>
      <c r="O254">
        <f t="shared" si="35"/>
        <v>8.2002678479447795</v>
      </c>
      <c r="P254">
        <f t="shared" si="36"/>
        <v>4.3628309467394653</v>
      </c>
      <c r="Q254">
        <f t="shared" si="37"/>
        <v>11.661687442052125</v>
      </c>
      <c r="R254">
        <f t="shared" si="38"/>
        <v>3.9095498094158856</v>
      </c>
      <c r="S254">
        <f t="shared" si="39"/>
        <v>3.922427114453487</v>
      </c>
      <c r="T254">
        <f t="shared" si="40"/>
        <v>4.0228700937467794</v>
      </c>
      <c r="U254">
        <f t="shared" si="41"/>
        <v>3.50262697022767</v>
      </c>
      <c r="V254">
        <f t="shared" si="42"/>
        <v>19.431853301741008</v>
      </c>
      <c r="W254">
        <f t="shared" si="43"/>
        <v>99.999999999999972</v>
      </c>
    </row>
    <row r="255" spans="1:23" x14ac:dyDescent="0.3">
      <c r="A255" t="s">
        <v>32</v>
      </c>
      <c r="B255">
        <v>2020</v>
      </c>
      <c r="C255" t="s">
        <v>34</v>
      </c>
      <c r="D255">
        <f>'All_India_Index_Upto_April23 (1'!D255+'All_India_Index_Upto_April23 (1'!G255+'All_India_Index_Upto_April23 (1'!H255+'All_India_Index_Upto_April23 (1'!I255+'All_India_Index_Upto_April23 (1'!J255+'All_India_Index_Upto_April23 (1'!K255+'All_India_Index_Upto_April23 (1'!L255+'All_India_Index_Upto_April23 (1'!M255+'All_India_Index_Upto_April23 (1'!N255+'All_India_Index_Upto_April23 (1'!O255+'All_India_Index_Upto_April23 (1'!P255</f>
        <v>1595.9</v>
      </c>
      <c r="E255">
        <f>'All_India_Index_Upto_April23 (1'!E255+'All_India_Index_Upto_April23 (1'!F255</f>
        <v>320.7</v>
      </c>
      <c r="F255">
        <v>172</v>
      </c>
      <c r="G255">
        <f>'All_India_Index_Upto_April23 (1'!R255+'All_India_Index_Upto_April23 (1'!S255+'All_India_Index_Upto_April23 (1'!T255</f>
        <v>426</v>
      </c>
      <c r="H255">
        <f>'All_India_Index_Upto_April23 (1'!U255+'All_India_Index_Upto_April23 (1'!W255</f>
        <v>295.20000000000005</v>
      </c>
      <c r="I255">
        <v>138.9</v>
      </c>
      <c r="J255">
        <v>144.4</v>
      </c>
      <c r="K255">
        <v>125.2</v>
      </c>
      <c r="L255">
        <f>'All_India_Index_Upto_April23 (1'!Z255+'All_India_Index_Upto_April23 (1'!AA255+'All_India_Index_Upto_April23 (1'!AB255+'All_India_Index_Upto_April23 (1'!AC255+'All_India_Index_Upto_April23 (1'!AD255</f>
        <v>719.5</v>
      </c>
      <c r="M255">
        <f t="shared" si="33"/>
        <v>3937.8</v>
      </c>
      <c r="N255">
        <f t="shared" si="34"/>
        <v>40.527705825587887</v>
      </c>
      <c r="O255">
        <f t="shared" si="35"/>
        <v>8.1441413987505697</v>
      </c>
      <c r="P255">
        <f t="shared" si="36"/>
        <v>4.367921174259739</v>
      </c>
      <c r="Q255">
        <f t="shared" si="37"/>
        <v>10.818223373457259</v>
      </c>
      <c r="R255">
        <f t="shared" si="38"/>
        <v>7.4965716897760171</v>
      </c>
      <c r="S255">
        <f t="shared" si="39"/>
        <v>3.5273502971202193</v>
      </c>
      <c r="T255">
        <f t="shared" si="40"/>
        <v>3.6670221951343387</v>
      </c>
      <c r="U255">
        <f t="shared" si="41"/>
        <v>3.1794402966123214</v>
      </c>
      <c r="V255">
        <f t="shared" si="42"/>
        <v>18.271623749301639</v>
      </c>
      <c r="W255">
        <f t="shared" si="43"/>
        <v>100</v>
      </c>
    </row>
    <row r="256" spans="1:23" x14ac:dyDescent="0.3">
      <c r="A256" t="s">
        <v>33</v>
      </c>
      <c r="B256">
        <v>2020</v>
      </c>
      <c r="C256" t="s">
        <v>34</v>
      </c>
      <c r="D256">
        <f>'All_India_Index_Upto_April23 (1'!D256+'All_India_Index_Upto_April23 (1'!G256+'All_India_Index_Upto_April23 (1'!H256+'All_India_Index_Upto_April23 (1'!I256+'All_India_Index_Upto_April23 (1'!J256+'All_India_Index_Upto_April23 (1'!K256+'All_India_Index_Upto_April23 (1'!L256+'All_India_Index_Upto_April23 (1'!M256+'All_India_Index_Upto_April23 (1'!N256+'All_India_Index_Upto_April23 (1'!O256+'All_India_Index_Upto_April23 (1'!P256</f>
        <v>1592.3</v>
      </c>
      <c r="E256">
        <f>'All_India_Index_Upto_April23 (1'!E256+'All_India_Index_Upto_April23 (1'!F256</f>
        <v>319.3</v>
      </c>
      <c r="F256">
        <v>170.1</v>
      </c>
      <c r="G256">
        <f>'All_India_Index_Upto_April23 (1'!R256+'All_India_Index_Upto_April23 (1'!S256+'All_India_Index_Upto_April23 (1'!T256</f>
        <v>442</v>
      </c>
      <c r="H256">
        <f>'All_India_Index_Upto_April23 (1'!U256+'All_India_Index_Upto_April23 (1'!W256</f>
        <v>301.20000000000005</v>
      </c>
      <c r="I256">
        <v>147.19999999999999</v>
      </c>
      <c r="J256">
        <v>151.69999999999999</v>
      </c>
      <c r="K256">
        <v>130.30000000000001</v>
      </c>
      <c r="L256">
        <f>'All_India_Index_Upto_April23 (1'!Z256+'All_India_Index_Upto_April23 (1'!AA256+'All_India_Index_Upto_April23 (1'!AB256+'All_India_Index_Upto_April23 (1'!AC256+'All_India_Index_Upto_April23 (1'!AD256</f>
        <v>735.5</v>
      </c>
      <c r="M256">
        <f t="shared" si="33"/>
        <v>3989.5999999999995</v>
      </c>
      <c r="N256">
        <f t="shared" si="34"/>
        <v>39.911269300180471</v>
      </c>
      <c r="O256">
        <f t="shared" si="35"/>
        <v>8.0033086023661539</v>
      </c>
      <c r="P256">
        <f t="shared" si="36"/>
        <v>4.2635853218367759</v>
      </c>
      <c r="Q256">
        <f t="shared" si="37"/>
        <v>11.078804892721077</v>
      </c>
      <c r="R256">
        <f t="shared" si="38"/>
        <v>7.5496290354922824</v>
      </c>
      <c r="S256">
        <f t="shared" si="39"/>
        <v>3.6895929416482858</v>
      </c>
      <c r="T256">
        <f t="shared" si="40"/>
        <v>3.8023862041307401</v>
      </c>
      <c r="U256">
        <f t="shared" si="41"/>
        <v>3.2659915781030691</v>
      </c>
      <c r="V256">
        <f t="shared" si="42"/>
        <v>18.43543212352116</v>
      </c>
      <c r="W256">
        <f t="shared" si="43"/>
        <v>100.00000000000003</v>
      </c>
    </row>
    <row r="257" spans="1:23" x14ac:dyDescent="0.3">
      <c r="A257" t="s">
        <v>30</v>
      </c>
      <c r="B257">
        <v>2020</v>
      </c>
      <c r="C257" t="s">
        <v>35</v>
      </c>
      <c r="D257">
        <f>'All_India_Index_Upto_April23 (1'!D257+'All_India_Index_Upto_April23 (1'!G257+'All_India_Index_Upto_April23 (1'!H257+'All_India_Index_Upto_April23 (1'!I257+'All_India_Index_Upto_April23 (1'!J257+'All_India_Index_Upto_April23 (1'!K257+'All_India_Index_Upto_April23 (1'!L257+'All_India_Index_Upto_April23 (1'!M257+'All_India_Index_Upto_April23 (1'!N257+'All_India_Index_Upto_April23 (1'!O257+'All_India_Index_Upto_April23 (1'!P257</f>
        <v>1580.2</v>
      </c>
      <c r="E257">
        <f>'All_India_Index_Upto_April23 (1'!E257+'All_India_Index_Upto_April23 (1'!F257</f>
        <v>314.39999999999998</v>
      </c>
      <c r="F257">
        <v>170.5</v>
      </c>
      <c r="G257">
        <f>'All_India_Index_Upto_April23 (1'!R257+'All_India_Index_Upto_April23 (1'!S257+'All_India_Index_Upto_April23 (1'!T257</f>
        <v>453.5</v>
      </c>
      <c r="H257">
        <f>'All_India_Index_Upto_April23 (1'!U257+'All_India_Index_Upto_April23 (1'!W257</f>
        <v>151.5</v>
      </c>
      <c r="I257">
        <v>153.4</v>
      </c>
      <c r="J257">
        <v>156.69999999999999</v>
      </c>
      <c r="K257">
        <v>135.80000000000001</v>
      </c>
      <c r="L257">
        <f>'All_India_Index_Upto_April23 (1'!Z257+'All_India_Index_Upto_April23 (1'!AA257+'All_India_Index_Upto_April23 (1'!AB257+'All_India_Index_Upto_April23 (1'!AC257+'All_India_Index_Upto_April23 (1'!AD257</f>
        <v>755.90000000000009</v>
      </c>
      <c r="M257">
        <f t="shared" si="33"/>
        <v>3871.9</v>
      </c>
      <c r="N257">
        <f t="shared" si="34"/>
        <v>40.812004442263486</v>
      </c>
      <c r="O257">
        <f t="shared" si="35"/>
        <v>8.1200444226348818</v>
      </c>
      <c r="P257">
        <f t="shared" si="36"/>
        <v>4.4035228182546033</v>
      </c>
      <c r="Q257">
        <f t="shared" si="37"/>
        <v>11.712595883158139</v>
      </c>
      <c r="R257">
        <f t="shared" si="38"/>
        <v>3.9128076654872288</v>
      </c>
      <c r="S257">
        <f t="shared" si="39"/>
        <v>3.9618791807639662</v>
      </c>
      <c r="T257">
        <f t="shared" si="40"/>
        <v>4.0471086546656672</v>
      </c>
      <c r="U257">
        <f t="shared" si="41"/>
        <v>3.5073219866215553</v>
      </c>
      <c r="V257">
        <f t="shared" si="42"/>
        <v>19.522714946150472</v>
      </c>
      <c r="W257">
        <f t="shared" si="43"/>
        <v>100</v>
      </c>
    </row>
    <row r="258" spans="1:23" x14ac:dyDescent="0.3">
      <c r="A258" t="s">
        <v>32</v>
      </c>
      <c r="B258">
        <v>2020</v>
      </c>
      <c r="C258" t="s">
        <v>35</v>
      </c>
      <c r="D258">
        <f>'All_India_Index_Upto_April23 (1'!D258+'All_India_Index_Upto_April23 (1'!G258+'All_India_Index_Upto_April23 (1'!H258+'All_India_Index_Upto_April23 (1'!I258+'All_India_Index_Upto_April23 (1'!J258+'All_India_Index_Upto_April23 (1'!K258+'All_India_Index_Upto_April23 (1'!L258+'All_India_Index_Upto_April23 (1'!M258+'All_India_Index_Upto_April23 (1'!N258+'All_India_Index_Upto_April23 (1'!O258+'All_India_Index_Upto_April23 (1'!P258</f>
        <v>1582.1</v>
      </c>
      <c r="E258">
        <f>'All_India_Index_Upto_April23 (1'!E258+'All_India_Index_Upto_April23 (1'!F258</f>
        <v>316.39999999999998</v>
      </c>
      <c r="F258">
        <v>173.3</v>
      </c>
      <c r="G258">
        <f>'All_India_Index_Upto_April23 (1'!R258+'All_India_Index_Upto_April23 (1'!S258+'All_India_Index_Upto_April23 (1'!T258</f>
        <v>427.1</v>
      </c>
      <c r="H258">
        <f>'All_India_Index_Upto_April23 (1'!U258+'All_India_Index_Upto_April23 (1'!W258</f>
        <v>295.3</v>
      </c>
      <c r="I258">
        <v>141.4</v>
      </c>
      <c r="J258">
        <v>145</v>
      </c>
      <c r="K258">
        <v>124.6</v>
      </c>
      <c r="L258">
        <f>'All_India_Index_Upto_April23 (1'!Z258+'All_India_Index_Upto_April23 (1'!AA258+'All_India_Index_Upto_April23 (1'!AB258+'All_India_Index_Upto_April23 (1'!AC258+'All_India_Index_Upto_April23 (1'!AD258</f>
        <v>721.7</v>
      </c>
      <c r="M258">
        <f t="shared" si="33"/>
        <v>3926.9000000000005</v>
      </c>
      <c r="N258">
        <f t="shared" si="34"/>
        <v>40.28877740711502</v>
      </c>
      <c r="O258">
        <f t="shared" si="35"/>
        <v>8.0572461738266803</v>
      </c>
      <c r="P258">
        <f t="shared" si="36"/>
        <v>4.4131503221370538</v>
      </c>
      <c r="Q258">
        <f t="shared" si="37"/>
        <v>10.876263719473375</v>
      </c>
      <c r="R258">
        <f t="shared" si="38"/>
        <v>7.5199266597061287</v>
      </c>
      <c r="S258">
        <f t="shared" si="39"/>
        <v>3.6008047060021897</v>
      </c>
      <c r="T258">
        <f t="shared" si="40"/>
        <v>3.6924800733402936</v>
      </c>
      <c r="U258">
        <f t="shared" si="41"/>
        <v>3.172986325091038</v>
      </c>
      <c r="V258">
        <f t="shared" si="42"/>
        <v>18.378364613308207</v>
      </c>
      <c r="W258">
        <f t="shared" si="43"/>
        <v>99.999999999999986</v>
      </c>
    </row>
    <row r="259" spans="1:23" x14ac:dyDescent="0.3">
      <c r="A259" t="s">
        <v>33</v>
      </c>
      <c r="B259">
        <v>2020</v>
      </c>
      <c r="C259" t="s">
        <v>35</v>
      </c>
      <c r="D259">
        <f>'All_India_Index_Upto_April23 (1'!D259+'All_India_Index_Upto_April23 (1'!G259+'All_India_Index_Upto_April23 (1'!H259+'All_India_Index_Upto_April23 (1'!I259+'All_India_Index_Upto_April23 (1'!J259+'All_India_Index_Upto_April23 (1'!K259+'All_India_Index_Upto_April23 (1'!L259+'All_India_Index_Upto_April23 (1'!M259+'All_India_Index_Upto_April23 (1'!N259+'All_India_Index_Upto_April23 (1'!O259+'All_India_Index_Upto_April23 (1'!P259</f>
        <v>1580.3</v>
      </c>
      <c r="E259">
        <f>'All_India_Index_Upto_April23 (1'!E259+'All_India_Index_Upto_April23 (1'!F259</f>
        <v>315.10000000000002</v>
      </c>
      <c r="F259">
        <v>171.2</v>
      </c>
      <c r="G259">
        <f>'All_India_Index_Upto_April23 (1'!R259+'All_India_Index_Upto_April23 (1'!S259+'All_India_Index_Upto_April23 (1'!T259</f>
        <v>442.90000000000003</v>
      </c>
      <c r="H259">
        <f>'All_India_Index_Upto_April23 (1'!U259+'All_India_Index_Upto_April23 (1'!W259</f>
        <v>300.89999999999998</v>
      </c>
      <c r="I259">
        <v>148.9</v>
      </c>
      <c r="J259">
        <v>152.30000000000001</v>
      </c>
      <c r="K259">
        <v>129.9</v>
      </c>
      <c r="L259">
        <f>'All_India_Index_Upto_April23 (1'!Z259+'All_India_Index_Upto_April23 (1'!AA259+'All_India_Index_Upto_April23 (1'!AB259+'All_India_Index_Upto_April23 (1'!AC259+'All_India_Index_Upto_April23 (1'!AD259</f>
        <v>737.4</v>
      </c>
      <c r="M259">
        <f t="shared" ref="M259:M322" si="44">D259+E259+F259+G259+H259+I259+J259+K259+L259</f>
        <v>3978.9000000000005</v>
      </c>
      <c r="N259">
        <f t="shared" ref="N259:N322" si="45">D259/M259*100</f>
        <v>39.717007213048831</v>
      </c>
      <c r="O259">
        <f t="shared" ref="O259:O322" si="46">E259/M259*100</f>
        <v>7.9192741712533614</v>
      </c>
      <c r="P259">
        <f t="shared" ref="P259:P322" si="47">F259/M259*100</f>
        <v>4.3026967252255641</v>
      </c>
      <c r="Q259">
        <f t="shared" ref="Q259:Q322" si="48">G259/M259*100</f>
        <v>11.13121717057478</v>
      </c>
      <c r="R259">
        <f t="shared" ref="R259:R322" si="49">H259/M259*100</f>
        <v>7.5623916157732021</v>
      </c>
      <c r="S259">
        <f t="shared" ref="S259:S322" si="50">I259/M259*100</f>
        <v>3.7422403176757393</v>
      </c>
      <c r="T259">
        <f t="shared" ref="T259:T322" si="51">J259/M259*100</f>
        <v>3.8276910703963405</v>
      </c>
      <c r="U259">
        <f t="shared" ref="U259:U322" si="52">K259/M259*100</f>
        <v>3.2647214054135567</v>
      </c>
      <c r="V259">
        <f t="shared" ref="V259:V322" si="53">L259/M259*100</f>
        <v>18.532760310638615</v>
      </c>
      <c r="W259">
        <f t="shared" ref="W259:W322" si="54">N259+O259+P259+Q259+R259+S259+T259+U259+V259</f>
        <v>100</v>
      </c>
    </row>
    <row r="260" spans="1:23" x14ac:dyDescent="0.3">
      <c r="A260" t="s">
        <v>30</v>
      </c>
      <c r="B260">
        <v>2020</v>
      </c>
      <c r="C260" t="s">
        <v>36</v>
      </c>
      <c r="D260">
        <f>'All_India_Index_Upto_April23 (1'!D260+'All_India_Index_Upto_April23 (1'!G260+'All_India_Index_Upto_April23 (1'!H260+'All_India_Index_Upto_April23 (1'!I260+'All_India_Index_Upto_April23 (1'!J260+'All_India_Index_Upto_April23 (1'!K260+'All_India_Index_Upto_April23 (1'!L260+'All_India_Index_Upto_April23 (1'!M260+'All_India_Index_Upto_April23 (1'!N260+'All_India_Index_Upto_April23 (1'!O260+'All_India_Index_Upto_April23 (1'!P260</f>
        <v>1626.9</v>
      </c>
      <c r="E260">
        <f>'All_India_Index_Upto_April23 (1'!E260+'All_India_Index_Upto_April23 (1'!F260</f>
        <v>314.20000000000005</v>
      </c>
      <c r="F260">
        <v>170</v>
      </c>
      <c r="G260">
        <f>'All_India_Index_Upto_April23 (1'!R260+'All_India_Index_Upto_April23 (1'!S260+'All_India_Index_Upto_April23 (1'!T260</f>
        <v>441.59999999999997</v>
      </c>
      <c r="H260">
        <f>'All_India_Index_Upto_April23 (1'!U260+'All_India_Index_Upto_April23 (1'!W260</f>
        <v>146.80000000000001</v>
      </c>
      <c r="I260">
        <v>148.4</v>
      </c>
      <c r="J260">
        <v>154.30000000000001</v>
      </c>
      <c r="K260">
        <v>131.5</v>
      </c>
      <c r="L260">
        <f>'All_India_Index_Upto_April23 (1'!Z260+'All_India_Index_Upto_April23 (1'!AA260+'All_India_Index_Upto_April23 (1'!AB260+'All_India_Index_Upto_April23 (1'!AC260+'All_India_Index_Upto_April23 (1'!AD260</f>
        <v>738.7</v>
      </c>
      <c r="M260">
        <f t="shared" si="44"/>
        <v>3872.4000000000005</v>
      </c>
      <c r="N260">
        <f t="shared" si="45"/>
        <v>42.012705299039354</v>
      </c>
      <c r="O260">
        <f t="shared" si="46"/>
        <v>8.1138312157834935</v>
      </c>
      <c r="P260">
        <f t="shared" si="47"/>
        <v>4.3900423509967972</v>
      </c>
      <c r="Q260">
        <f t="shared" si="48"/>
        <v>11.403780601177562</v>
      </c>
      <c r="R260">
        <f t="shared" si="49"/>
        <v>3.7909306889784111</v>
      </c>
      <c r="S260">
        <f t="shared" si="50"/>
        <v>3.8322487346348515</v>
      </c>
      <c r="T260">
        <f t="shared" si="51"/>
        <v>3.9846090279929753</v>
      </c>
      <c r="U260">
        <f t="shared" si="52"/>
        <v>3.395826877388699</v>
      </c>
      <c r="V260">
        <f t="shared" si="53"/>
        <v>19.076025204007848</v>
      </c>
      <c r="W260">
        <f t="shared" si="54"/>
        <v>99.999999999999972</v>
      </c>
    </row>
    <row r="261" spans="1:23" x14ac:dyDescent="0.3">
      <c r="A261" t="s">
        <v>32</v>
      </c>
      <c r="B261">
        <v>2020</v>
      </c>
      <c r="C261" t="s">
        <v>36</v>
      </c>
      <c r="D261">
        <f>'All_India_Index_Upto_April23 (1'!D261+'All_India_Index_Upto_April23 (1'!G261+'All_India_Index_Upto_April23 (1'!H261+'All_India_Index_Upto_April23 (1'!I261+'All_India_Index_Upto_April23 (1'!J261+'All_India_Index_Upto_April23 (1'!K261+'All_India_Index_Upto_April23 (1'!L261+'All_India_Index_Upto_April23 (1'!M261+'All_India_Index_Upto_April23 (1'!N261+'All_India_Index_Upto_April23 (1'!O261+'All_India_Index_Upto_April23 (1'!P261</f>
        <v>1643.8999999999999</v>
      </c>
      <c r="E261">
        <f>'All_India_Index_Upto_April23 (1'!E261+'All_India_Index_Upto_April23 (1'!F261</f>
        <v>319.3</v>
      </c>
      <c r="F261">
        <v>170.7</v>
      </c>
      <c r="G261">
        <f>'All_India_Index_Upto_April23 (1'!R261+'All_India_Index_Upto_April23 (1'!S261+'All_India_Index_Upto_April23 (1'!T261</f>
        <v>438.29999999999995</v>
      </c>
      <c r="H261">
        <f>'All_India_Index_Upto_April23 (1'!U261+'All_India_Index_Upto_April23 (1'!W261</f>
        <v>300.89999999999998</v>
      </c>
      <c r="I261">
        <v>137.1</v>
      </c>
      <c r="J261">
        <v>144.80000000000001</v>
      </c>
      <c r="K261">
        <v>129.80000000000001</v>
      </c>
      <c r="L261">
        <f>'All_India_Index_Upto_April23 (1'!Z261+'All_India_Index_Upto_April23 (1'!AA261+'All_India_Index_Upto_April23 (1'!AB261+'All_India_Index_Upto_April23 (1'!AC261+'All_India_Index_Upto_April23 (1'!AD261</f>
        <v>734.19999999999993</v>
      </c>
      <c r="M261">
        <f t="shared" si="44"/>
        <v>4019</v>
      </c>
      <c r="N261">
        <f t="shared" si="45"/>
        <v>40.903209753670062</v>
      </c>
      <c r="O261">
        <f t="shared" si="46"/>
        <v>7.9447623787011699</v>
      </c>
      <c r="P261">
        <f t="shared" si="47"/>
        <v>4.2473252052749437</v>
      </c>
      <c r="Q261">
        <f t="shared" si="48"/>
        <v>10.905697934809654</v>
      </c>
      <c r="R261">
        <f t="shared" si="49"/>
        <v>7.4869370490171683</v>
      </c>
      <c r="S261">
        <f t="shared" si="50"/>
        <v>3.411296342373725</v>
      </c>
      <c r="T261">
        <f t="shared" si="51"/>
        <v>3.6028862901219214</v>
      </c>
      <c r="U261">
        <f t="shared" si="52"/>
        <v>3.2296591191838768</v>
      </c>
      <c r="V261">
        <f t="shared" si="53"/>
        <v>18.268225926847474</v>
      </c>
      <c r="W261">
        <f t="shared" si="54"/>
        <v>100</v>
      </c>
    </row>
    <row r="262" spans="1:23" x14ac:dyDescent="0.3">
      <c r="A262" t="s">
        <v>33</v>
      </c>
      <c r="B262">
        <v>2020</v>
      </c>
      <c r="C262" t="s">
        <v>36</v>
      </c>
      <c r="D262">
        <f>'All_India_Index_Upto_April23 (1'!D262+'All_India_Index_Upto_April23 (1'!G262+'All_India_Index_Upto_April23 (1'!H262+'All_India_Index_Upto_April23 (1'!I262+'All_India_Index_Upto_April23 (1'!J262+'All_India_Index_Upto_April23 (1'!K262+'All_India_Index_Upto_April23 (1'!L262+'All_India_Index_Upto_April23 (1'!M262+'All_India_Index_Upto_April23 (1'!N262+'All_India_Index_Upto_April23 (1'!O262+'All_India_Index_Upto_April23 (1'!P262</f>
        <v>1633.1</v>
      </c>
      <c r="E262">
        <f>'All_India_Index_Upto_April23 (1'!E262+'All_India_Index_Upto_April23 (1'!F262</f>
        <v>316.10000000000002</v>
      </c>
      <c r="F262">
        <v>170.8</v>
      </c>
      <c r="G262">
        <f>'All_India_Index_Upto_April23 (1'!R262+'All_India_Index_Upto_April23 (1'!S262+'All_India_Index_Upto_April23 (1'!T262</f>
        <v>440.6</v>
      </c>
      <c r="H262">
        <f>'All_India_Index_Upto_April23 (1'!U262+'All_India_Index_Upto_April23 (1'!W262</f>
        <v>301.79999999999995</v>
      </c>
      <c r="I262">
        <v>144.1</v>
      </c>
      <c r="J262">
        <v>150.69999999999999</v>
      </c>
      <c r="K262">
        <v>130.30000000000001</v>
      </c>
      <c r="L262">
        <f>'All_India_Index_Upto_April23 (1'!Z262+'All_India_Index_Upto_April23 (1'!AA262+'All_India_Index_Upto_April23 (1'!AB262+'All_India_Index_Upto_April23 (1'!AC262+'All_India_Index_Upto_April23 (1'!AD262</f>
        <v>736.9</v>
      </c>
      <c r="M262">
        <f t="shared" si="44"/>
        <v>4024.3999999999996</v>
      </c>
      <c r="N262">
        <f t="shared" si="45"/>
        <v>40.579962230394592</v>
      </c>
      <c r="O262">
        <f t="shared" si="46"/>
        <v>7.8545870191829845</v>
      </c>
      <c r="P262">
        <f t="shared" si="47"/>
        <v>4.244110923367459</v>
      </c>
      <c r="Q262">
        <f t="shared" si="48"/>
        <v>10.948215883113011</v>
      </c>
      <c r="R262">
        <f t="shared" si="49"/>
        <v>7.499254547261704</v>
      </c>
      <c r="S262">
        <f t="shared" si="50"/>
        <v>3.5806579862836694</v>
      </c>
      <c r="T262">
        <f t="shared" si="51"/>
        <v>3.744657588708876</v>
      </c>
      <c r="U262">
        <f t="shared" si="52"/>
        <v>3.2377497266673299</v>
      </c>
      <c r="V262">
        <f t="shared" si="53"/>
        <v>18.310804095020377</v>
      </c>
      <c r="W262">
        <f t="shared" si="54"/>
        <v>100</v>
      </c>
    </row>
    <row r="263" spans="1:23" x14ac:dyDescent="0.3">
      <c r="A263" t="s">
        <v>30</v>
      </c>
      <c r="B263">
        <v>2020</v>
      </c>
      <c r="C263" t="s">
        <v>37</v>
      </c>
      <c r="D263">
        <f>'All_India_Index_Upto_April23 (1'!D263+'All_India_Index_Upto_April23 (1'!G263+'All_India_Index_Upto_April23 (1'!H263+'All_India_Index_Upto_April23 (1'!I263+'All_India_Index_Upto_April23 (1'!J263+'All_India_Index_Upto_April23 (1'!K263+'All_India_Index_Upto_April23 (1'!L263+'All_India_Index_Upto_April23 (1'!M263+'All_India_Index_Upto_April23 (1'!N263+'All_India_Index_Upto_April23 (1'!O263+'All_India_Index_Upto_April23 (1'!P263</f>
        <v>1600.1</v>
      </c>
      <c r="E263">
        <f>'All_India_Index_Upto_April23 (1'!E263+'All_India_Index_Upto_April23 (1'!F263</f>
        <v>318.39999999999998</v>
      </c>
      <c r="F263">
        <v>170.5</v>
      </c>
      <c r="G263">
        <f>'All_India_Index_Upto_April23 (1'!R263+'All_India_Index_Upto_April23 (1'!S263+'All_India_Index_Upto_April23 (1'!T263</f>
        <v>440.3</v>
      </c>
      <c r="H263">
        <f>'All_India_Index_Upto_April23 (1'!U263+'All_India_Index_Upto_April23 (1'!W263</f>
        <v>146.19999999999999</v>
      </c>
      <c r="I263">
        <v>146</v>
      </c>
      <c r="J263">
        <v>150.5</v>
      </c>
      <c r="K263">
        <v>130.6</v>
      </c>
      <c r="L263">
        <f>'All_India_Index_Upto_April23 (1'!Z263+'All_India_Index_Upto_April23 (1'!AA263+'All_India_Index_Upto_April23 (1'!AB263+'All_India_Index_Upto_April23 (1'!AC263+'All_India_Index_Upto_April23 (1'!AD263</f>
        <v>736.7</v>
      </c>
      <c r="M263">
        <f t="shared" si="44"/>
        <v>3839.3</v>
      </c>
      <c r="N263">
        <f t="shared" si="45"/>
        <v>41.676868179095145</v>
      </c>
      <c r="O263">
        <f t="shared" si="46"/>
        <v>8.2931784439871841</v>
      </c>
      <c r="P263">
        <f t="shared" si="47"/>
        <v>4.4409137082280621</v>
      </c>
      <c r="Q263">
        <f t="shared" si="48"/>
        <v>11.468236397259917</v>
      </c>
      <c r="R263">
        <f t="shared" si="49"/>
        <v>3.8079858307503969</v>
      </c>
      <c r="S263">
        <f t="shared" si="50"/>
        <v>3.8027765478081941</v>
      </c>
      <c r="T263">
        <f t="shared" si="51"/>
        <v>3.9199854140077615</v>
      </c>
      <c r="U263">
        <f t="shared" si="52"/>
        <v>3.4016617612585627</v>
      </c>
      <c r="V263">
        <f t="shared" si="53"/>
        <v>19.188393717604772</v>
      </c>
      <c r="W263">
        <f t="shared" si="54"/>
        <v>99.999999999999986</v>
      </c>
    </row>
    <row r="264" spans="1:23" x14ac:dyDescent="0.3">
      <c r="A264" t="s">
        <v>32</v>
      </c>
      <c r="B264">
        <v>2020</v>
      </c>
      <c r="C264" t="s">
        <v>37</v>
      </c>
      <c r="D264">
        <f>'All_India_Index_Upto_April23 (1'!D264+'All_India_Index_Upto_April23 (1'!G264+'All_India_Index_Upto_April23 (1'!H264+'All_India_Index_Upto_April23 (1'!I264+'All_India_Index_Upto_April23 (1'!J264+'All_India_Index_Upto_April23 (1'!K264+'All_India_Index_Upto_April23 (1'!L264+'All_India_Index_Upto_April23 (1'!M264+'All_India_Index_Upto_April23 (1'!N264+'All_India_Index_Upto_April23 (1'!O264+'All_India_Index_Upto_April23 (1'!P264</f>
        <v>1602.8</v>
      </c>
      <c r="E264">
        <f>'All_India_Index_Upto_April23 (1'!E264+'All_India_Index_Upto_April23 (1'!F264</f>
        <v>318.39999999999998</v>
      </c>
      <c r="F264">
        <v>170.7</v>
      </c>
      <c r="G264">
        <f>'All_India_Index_Upto_April23 (1'!R264+'All_India_Index_Upto_April23 (1'!S264+'All_India_Index_Upto_April23 (1'!T264</f>
        <v>438.9</v>
      </c>
      <c r="H264">
        <f>'All_India_Index_Upto_April23 (1'!U264+'All_India_Index_Upto_April23 (1'!W264</f>
        <v>253.7</v>
      </c>
      <c r="I264">
        <v>144.69999999999999</v>
      </c>
      <c r="J264">
        <v>150</v>
      </c>
      <c r="K264">
        <v>130</v>
      </c>
      <c r="L264">
        <f>'All_India_Index_Upto_April23 (1'!Z264+'All_India_Index_Upto_April23 (1'!AA264+'All_India_Index_Upto_April23 (1'!AB264+'All_India_Index_Upto_April23 (1'!AC264+'All_India_Index_Upto_April23 (1'!AD264</f>
        <v>734.8</v>
      </c>
      <c r="M264">
        <f t="shared" si="44"/>
        <v>3943.9999999999991</v>
      </c>
      <c r="N264">
        <f t="shared" si="45"/>
        <v>40.63894523326573</v>
      </c>
      <c r="O264">
        <f t="shared" si="46"/>
        <v>8.0730223123732259</v>
      </c>
      <c r="P264">
        <f t="shared" si="47"/>
        <v>4.3280933062880331</v>
      </c>
      <c r="Q264">
        <f t="shared" si="48"/>
        <v>11.128296146044626</v>
      </c>
      <c r="R264">
        <f t="shared" si="49"/>
        <v>6.4325557809330638</v>
      </c>
      <c r="S264">
        <f t="shared" si="50"/>
        <v>3.6688640973630839</v>
      </c>
      <c r="T264">
        <f t="shared" si="51"/>
        <v>3.8032454361054775</v>
      </c>
      <c r="U264">
        <f t="shared" si="52"/>
        <v>3.2961460446247473</v>
      </c>
      <c r="V264">
        <f t="shared" si="53"/>
        <v>18.630831643002033</v>
      </c>
      <c r="W264">
        <f t="shared" si="54"/>
        <v>100.00000000000003</v>
      </c>
    </row>
    <row r="265" spans="1:23" x14ac:dyDescent="0.3">
      <c r="A265" t="s">
        <v>33</v>
      </c>
      <c r="B265">
        <v>2020</v>
      </c>
      <c r="C265" t="s">
        <v>37</v>
      </c>
      <c r="D265">
        <f>'All_India_Index_Upto_April23 (1'!D265+'All_India_Index_Upto_April23 (1'!G265+'All_India_Index_Upto_April23 (1'!H265+'All_India_Index_Upto_April23 (1'!I265+'All_India_Index_Upto_April23 (1'!J265+'All_India_Index_Upto_April23 (1'!K265+'All_India_Index_Upto_April23 (1'!L265+'All_India_Index_Upto_April23 (1'!M265+'All_India_Index_Upto_April23 (1'!N265+'All_India_Index_Upto_April23 (1'!O265+'All_India_Index_Upto_April23 (1'!P265</f>
        <v>1603.6566666666668</v>
      </c>
      <c r="E265">
        <f>'All_India_Index_Upto_April23 (1'!E265+'All_India_Index_Upto_April23 (1'!F265</f>
        <v>317.5</v>
      </c>
      <c r="F265">
        <v>170.7</v>
      </c>
      <c r="G265">
        <f>'All_India_Index_Upto_April23 (1'!R265+'All_India_Index_Upto_April23 (1'!S265+'All_India_Index_Upto_April23 (1'!T265</f>
        <v>440.70000000000005</v>
      </c>
      <c r="H265">
        <f>'All_India_Index_Upto_April23 (1'!U265+'All_India_Index_Upto_April23 (1'!W265</f>
        <v>254.57</v>
      </c>
      <c r="I265">
        <v>145.6</v>
      </c>
      <c r="J265">
        <v>150.69999999999999</v>
      </c>
      <c r="K265">
        <f>AVERAGE(K253:K262)</f>
        <v>130.43</v>
      </c>
      <c r="L265">
        <f>'All_India_Index_Upto_April23 (1'!Z265+'All_India_Index_Upto_April23 (1'!AA265+'All_India_Index_Upto_April23 (1'!AB265+'All_India_Index_Upto_April23 (1'!AC265+'All_India_Index_Upto_April23 (1'!AD265</f>
        <v>737</v>
      </c>
      <c r="M265">
        <f t="shared" si="44"/>
        <v>3950.8566666666661</v>
      </c>
      <c r="N265">
        <f t="shared" si="45"/>
        <v>40.590099868636095</v>
      </c>
      <c r="O265">
        <f t="shared" si="46"/>
        <v>8.0362318045790921</v>
      </c>
      <c r="P265">
        <f t="shared" si="47"/>
        <v>4.3205819497374831</v>
      </c>
      <c r="Q265">
        <f t="shared" si="48"/>
        <v>11.154542854418919</v>
      </c>
      <c r="R265">
        <f t="shared" si="49"/>
        <v>6.4434126944620456</v>
      </c>
      <c r="S265">
        <f t="shared" si="50"/>
        <v>3.6852766952652467</v>
      </c>
      <c r="T265">
        <f t="shared" si="51"/>
        <v>3.8143626234647852</v>
      </c>
      <c r="U265">
        <f t="shared" si="52"/>
        <v>3.3013093362874049</v>
      </c>
      <c r="V265">
        <f t="shared" si="53"/>
        <v>18.654182173148946</v>
      </c>
      <c r="W265">
        <f t="shared" si="54"/>
        <v>100</v>
      </c>
    </row>
    <row r="266" spans="1:23" x14ac:dyDescent="0.3">
      <c r="A266" t="s">
        <v>30</v>
      </c>
      <c r="B266">
        <v>2020</v>
      </c>
      <c r="C266" t="s">
        <v>38</v>
      </c>
      <c r="D266">
        <f>'All_India_Index_Upto_April23 (1'!D266+'All_India_Index_Upto_April23 (1'!G266+'All_India_Index_Upto_April23 (1'!H266+'All_India_Index_Upto_April23 (1'!I266+'All_India_Index_Upto_April23 (1'!J266+'All_India_Index_Upto_April23 (1'!K266+'All_India_Index_Upto_April23 (1'!L266+'All_India_Index_Upto_April23 (1'!M266+'All_India_Index_Upto_April23 (1'!N266+'All_India_Index_Upto_April23 (1'!O266+'All_India_Index_Upto_April23 (1'!P266</f>
        <v>1611.2999999999997</v>
      </c>
      <c r="E266">
        <f>'All_India_Index_Upto_April23 (1'!E266+'All_India_Index_Upto_April23 (1'!F266</f>
        <v>339.70000000000005</v>
      </c>
      <c r="F266">
        <v>182.4</v>
      </c>
      <c r="G266">
        <f>'All_India_Index_Upto_April23 (1'!R266+'All_India_Index_Upto_April23 (1'!S266+'All_India_Index_Upto_April23 (1'!T266</f>
        <v>458.79999999999995</v>
      </c>
      <c r="H266">
        <f>'All_India_Index_Upto_April23 (1'!U266+'All_India_Index_Upto_April23 (1'!W266</f>
        <v>151.69999999999999</v>
      </c>
      <c r="I266">
        <v>144.9</v>
      </c>
      <c r="J266">
        <v>158.19999999999999</v>
      </c>
      <c r="K266">
        <v>141.4</v>
      </c>
      <c r="L266">
        <f>'All_India_Index_Upto_April23 (1'!Z266+'All_India_Index_Upto_April23 (1'!AA266+'All_India_Index_Upto_April23 (1'!AB266+'All_India_Index_Upto_April23 (1'!AC266+'All_India_Index_Upto_April23 (1'!AD266</f>
        <v>770.59999999999991</v>
      </c>
      <c r="M266">
        <f t="shared" si="44"/>
        <v>3958.9999999999995</v>
      </c>
      <c r="N266">
        <f t="shared" si="45"/>
        <v>40.699671634251075</v>
      </c>
      <c r="O266">
        <f t="shared" si="46"/>
        <v>8.5804496084869939</v>
      </c>
      <c r="P266">
        <f t="shared" si="47"/>
        <v>4.6072240464763841</v>
      </c>
      <c r="Q266">
        <f t="shared" si="48"/>
        <v>11.588785046728972</v>
      </c>
      <c r="R266">
        <f t="shared" si="49"/>
        <v>3.8317757009345796</v>
      </c>
      <c r="S266">
        <f t="shared" si="50"/>
        <v>3.6600151553422591</v>
      </c>
      <c r="T266">
        <f t="shared" si="51"/>
        <v>3.9959585753978279</v>
      </c>
      <c r="U266">
        <f t="shared" si="52"/>
        <v>3.5716089921697405</v>
      </c>
      <c r="V266">
        <f t="shared" si="53"/>
        <v>19.464511240212172</v>
      </c>
      <c r="W266">
        <f t="shared" si="54"/>
        <v>100.00000000000001</v>
      </c>
    </row>
    <row r="267" spans="1:23" x14ac:dyDescent="0.3">
      <c r="A267" t="s">
        <v>32</v>
      </c>
      <c r="B267">
        <v>2020</v>
      </c>
      <c r="C267" t="s">
        <v>38</v>
      </c>
      <c r="D267">
        <f>'All_India_Index_Upto_April23 (1'!D267+'All_India_Index_Upto_April23 (1'!G267+'All_India_Index_Upto_April23 (1'!H267+'All_India_Index_Upto_April23 (1'!I267+'All_India_Index_Upto_April23 (1'!J267+'All_India_Index_Upto_April23 (1'!K267+'All_India_Index_Upto_April23 (1'!L267+'All_India_Index_Upto_April23 (1'!M267+'All_India_Index_Upto_April23 (1'!N267+'All_India_Index_Upto_April23 (1'!O267+'All_India_Index_Upto_April23 (1'!P267</f>
        <v>1643.3999999999999</v>
      </c>
      <c r="E267">
        <f>'All_India_Index_Upto_April23 (1'!E267+'All_India_Index_Upto_April23 (1'!F267</f>
        <v>351.6</v>
      </c>
      <c r="F267">
        <v>186.7</v>
      </c>
      <c r="G267">
        <f>'All_India_Index_Upto_April23 (1'!R267+'All_India_Index_Upto_April23 (1'!S267+'All_India_Index_Upto_April23 (1'!T267</f>
        <v>432.9</v>
      </c>
      <c r="H267">
        <f>'All_India_Index_Upto_April23 (1'!U267+'All_India_Index_Upto_April23 (1'!W267</f>
        <v>295.10000000000002</v>
      </c>
      <c r="I267">
        <v>137.1</v>
      </c>
      <c r="J267">
        <v>148.1</v>
      </c>
      <c r="K267">
        <v>129.30000000000001</v>
      </c>
      <c r="L267">
        <f>'All_India_Index_Upto_April23 (1'!Z267+'All_India_Index_Upto_April23 (1'!AA267+'All_India_Index_Upto_April23 (1'!AB267+'All_India_Index_Upto_April23 (1'!AC267+'All_India_Index_Upto_April23 (1'!AD267</f>
        <v>742</v>
      </c>
      <c r="M267">
        <f t="shared" si="44"/>
        <v>4066.2</v>
      </c>
      <c r="N267">
        <f t="shared" si="45"/>
        <v>40.416113324479859</v>
      </c>
      <c r="O267">
        <f t="shared" si="46"/>
        <v>8.6468939058580503</v>
      </c>
      <c r="P267">
        <f t="shared" si="47"/>
        <v>4.5915105012050557</v>
      </c>
      <c r="Q267">
        <f t="shared" si="48"/>
        <v>10.64630367419212</v>
      </c>
      <c r="R267">
        <f t="shared" si="49"/>
        <v>7.2573901923171524</v>
      </c>
      <c r="S267">
        <f t="shared" si="50"/>
        <v>3.3716983916187102</v>
      </c>
      <c r="T267">
        <f t="shared" si="51"/>
        <v>3.642221238502779</v>
      </c>
      <c r="U267">
        <f t="shared" si="52"/>
        <v>3.1798731001918252</v>
      </c>
      <c r="V267">
        <f t="shared" si="53"/>
        <v>18.247995671634452</v>
      </c>
      <c r="W267">
        <f t="shared" si="54"/>
        <v>100.00000000000001</v>
      </c>
    </row>
    <row r="268" spans="1:23" x14ac:dyDescent="0.3">
      <c r="A268" t="s">
        <v>33</v>
      </c>
      <c r="B268">
        <v>2020</v>
      </c>
      <c r="C268" t="s">
        <v>38</v>
      </c>
      <c r="D268">
        <f>'All_India_Index_Upto_April23 (1'!D268+'All_India_Index_Upto_April23 (1'!G268+'All_India_Index_Upto_April23 (1'!H268+'All_India_Index_Upto_April23 (1'!I268+'All_India_Index_Upto_April23 (1'!J268+'All_India_Index_Upto_April23 (1'!K268+'All_India_Index_Upto_April23 (1'!L268+'All_India_Index_Upto_April23 (1'!M268+'All_India_Index_Upto_April23 (1'!N268+'All_India_Index_Upto_April23 (1'!O268+'All_India_Index_Upto_April23 (1'!P268</f>
        <v>1622.7</v>
      </c>
      <c r="E268">
        <f>'All_India_Index_Upto_April23 (1'!E268+'All_India_Index_Upto_April23 (1'!F268</f>
        <v>344.1</v>
      </c>
      <c r="F268">
        <v>183.5</v>
      </c>
      <c r="G268">
        <f>'All_India_Index_Upto_April23 (1'!R268+'All_India_Index_Upto_April23 (1'!S268+'All_India_Index_Upto_April23 (1'!T268</f>
        <v>448.29999999999995</v>
      </c>
      <c r="H268">
        <f>'All_India_Index_Upto_April23 (1'!U268+'All_India_Index_Upto_April23 (1'!W268</f>
        <v>301.10000000000002</v>
      </c>
      <c r="I268">
        <v>141.9</v>
      </c>
      <c r="J268">
        <v>154.4</v>
      </c>
      <c r="K268">
        <v>135</v>
      </c>
      <c r="L268">
        <f>'All_India_Index_Upto_April23 (1'!Z268+'All_India_Index_Upto_April23 (1'!AA268+'All_India_Index_Upto_April23 (1'!AB268+'All_India_Index_Upto_April23 (1'!AC268+'All_India_Index_Upto_April23 (1'!AD268</f>
        <v>755.10000000000014</v>
      </c>
      <c r="M268">
        <f t="shared" si="44"/>
        <v>4086.1000000000004</v>
      </c>
      <c r="N268">
        <f t="shared" si="45"/>
        <v>39.71268446685103</v>
      </c>
      <c r="O268">
        <f t="shared" si="46"/>
        <v>8.4212329605247049</v>
      </c>
      <c r="P268">
        <f t="shared" si="47"/>
        <v>4.4908347813318317</v>
      </c>
      <c r="Q268">
        <f t="shared" si="48"/>
        <v>10.971341866327302</v>
      </c>
      <c r="R268">
        <f t="shared" si="49"/>
        <v>7.3688847556349577</v>
      </c>
      <c r="S268">
        <f t="shared" si="50"/>
        <v>3.4727490761361688</v>
      </c>
      <c r="T268">
        <f t="shared" si="51"/>
        <v>3.7786642519762119</v>
      </c>
      <c r="U268">
        <f t="shared" si="52"/>
        <v>3.3038838990724648</v>
      </c>
      <c r="V268">
        <f t="shared" si="53"/>
        <v>18.479723942145323</v>
      </c>
      <c r="W268">
        <f t="shared" si="54"/>
        <v>99.999999999999986</v>
      </c>
    </row>
    <row r="269" spans="1:23" x14ac:dyDescent="0.3">
      <c r="A269" t="s">
        <v>30</v>
      </c>
      <c r="B269">
        <v>2020</v>
      </c>
      <c r="C269" t="s">
        <v>39</v>
      </c>
      <c r="D269">
        <f>'All_India_Index_Upto_April23 (1'!D269+'All_India_Index_Upto_April23 (1'!G269+'All_India_Index_Upto_April23 (1'!H269+'All_India_Index_Upto_April23 (1'!I269+'All_India_Index_Upto_April23 (1'!J269+'All_India_Index_Upto_April23 (1'!K269+'All_India_Index_Upto_April23 (1'!L269+'All_India_Index_Upto_April23 (1'!M269+'All_India_Index_Upto_April23 (1'!N269+'All_India_Index_Upto_April23 (1'!O269+'All_India_Index_Upto_April23 (1'!P269</f>
        <v>1611.2999999999997</v>
      </c>
      <c r="E269">
        <f>'All_India_Index_Upto_April23 (1'!E269+'All_India_Index_Upto_April23 (1'!F269</f>
        <v>339.70000000000005</v>
      </c>
      <c r="F269">
        <v>182.4</v>
      </c>
      <c r="G269">
        <f>'All_India_Index_Upto_April23 (1'!R269+'All_India_Index_Upto_April23 (1'!S269+'All_India_Index_Upto_April23 (1'!T269</f>
        <v>458.79999999999995</v>
      </c>
      <c r="H269">
        <f>'All_India_Index_Upto_April23 (1'!U269+'All_India_Index_Upto_April23 (1'!W269</f>
        <v>151.69999999999999</v>
      </c>
      <c r="I269">
        <v>144.9</v>
      </c>
      <c r="J269">
        <v>158.19999999999999</v>
      </c>
      <c r="K269">
        <v>141.4</v>
      </c>
      <c r="L269">
        <f>'All_India_Index_Upto_April23 (1'!Z269+'All_India_Index_Upto_April23 (1'!AA269+'All_India_Index_Upto_April23 (1'!AB269+'All_India_Index_Upto_April23 (1'!AC269+'All_India_Index_Upto_April23 (1'!AD269</f>
        <v>770.59999999999991</v>
      </c>
      <c r="M269">
        <f t="shared" si="44"/>
        <v>3958.9999999999995</v>
      </c>
      <c r="N269">
        <f t="shared" si="45"/>
        <v>40.699671634251075</v>
      </c>
      <c r="O269">
        <f t="shared" si="46"/>
        <v>8.5804496084869939</v>
      </c>
      <c r="P269">
        <f t="shared" si="47"/>
        <v>4.6072240464763841</v>
      </c>
      <c r="Q269">
        <f t="shared" si="48"/>
        <v>11.588785046728972</v>
      </c>
      <c r="R269">
        <f t="shared" si="49"/>
        <v>3.8317757009345796</v>
      </c>
      <c r="S269">
        <f t="shared" si="50"/>
        <v>3.6600151553422591</v>
      </c>
      <c r="T269">
        <f t="shared" si="51"/>
        <v>3.9959585753978279</v>
      </c>
      <c r="U269">
        <f t="shared" si="52"/>
        <v>3.5716089921697405</v>
      </c>
      <c r="V269">
        <f t="shared" si="53"/>
        <v>19.464511240212172</v>
      </c>
      <c r="W269">
        <f t="shared" si="54"/>
        <v>100.00000000000001</v>
      </c>
    </row>
    <row r="270" spans="1:23" x14ac:dyDescent="0.3">
      <c r="A270" t="s">
        <v>32</v>
      </c>
      <c r="B270">
        <v>2020</v>
      </c>
      <c r="C270" t="s">
        <v>39</v>
      </c>
      <c r="D270">
        <f>'All_India_Index_Upto_April23 (1'!D270+'All_India_Index_Upto_April23 (1'!G270+'All_India_Index_Upto_April23 (1'!H270+'All_India_Index_Upto_April23 (1'!I270+'All_India_Index_Upto_April23 (1'!J270+'All_India_Index_Upto_April23 (1'!K270+'All_India_Index_Upto_April23 (1'!L270+'All_India_Index_Upto_April23 (1'!M270+'All_India_Index_Upto_April23 (1'!N270+'All_India_Index_Upto_April23 (1'!O270+'All_India_Index_Upto_April23 (1'!P270</f>
        <v>1643.3999999999999</v>
      </c>
      <c r="E270">
        <f>'All_India_Index_Upto_April23 (1'!E270+'All_India_Index_Upto_April23 (1'!F270</f>
        <v>351.6</v>
      </c>
      <c r="F270">
        <v>186.7</v>
      </c>
      <c r="G270">
        <f>'All_India_Index_Upto_April23 (1'!R270+'All_India_Index_Upto_April23 (1'!S270+'All_India_Index_Upto_April23 (1'!T270</f>
        <v>432.9</v>
      </c>
      <c r="H270">
        <f>'All_India_Index_Upto_April23 (1'!U270+'All_India_Index_Upto_April23 (1'!W270</f>
        <v>295.10000000000002</v>
      </c>
      <c r="I270">
        <v>137.1</v>
      </c>
      <c r="J270">
        <v>148.1</v>
      </c>
      <c r="K270">
        <v>129.30000000000001</v>
      </c>
      <c r="L270">
        <f>'All_India_Index_Upto_April23 (1'!Z270+'All_India_Index_Upto_April23 (1'!AA270+'All_India_Index_Upto_April23 (1'!AB270+'All_India_Index_Upto_April23 (1'!AC270+'All_India_Index_Upto_April23 (1'!AD270</f>
        <v>742</v>
      </c>
      <c r="M270">
        <f t="shared" si="44"/>
        <v>4066.2</v>
      </c>
      <c r="N270">
        <f t="shared" si="45"/>
        <v>40.416113324479859</v>
      </c>
      <c r="O270">
        <f t="shared" si="46"/>
        <v>8.6468939058580503</v>
      </c>
      <c r="P270">
        <f t="shared" si="47"/>
        <v>4.5915105012050557</v>
      </c>
      <c r="Q270">
        <f t="shared" si="48"/>
        <v>10.64630367419212</v>
      </c>
      <c r="R270">
        <f t="shared" si="49"/>
        <v>7.2573901923171524</v>
      </c>
      <c r="S270">
        <f t="shared" si="50"/>
        <v>3.3716983916187102</v>
      </c>
      <c r="T270">
        <f t="shared" si="51"/>
        <v>3.642221238502779</v>
      </c>
      <c r="U270">
        <f t="shared" si="52"/>
        <v>3.1798731001918252</v>
      </c>
      <c r="V270">
        <f t="shared" si="53"/>
        <v>18.247995671634452</v>
      </c>
      <c r="W270">
        <f t="shared" si="54"/>
        <v>100.00000000000001</v>
      </c>
    </row>
    <row r="271" spans="1:23" x14ac:dyDescent="0.3">
      <c r="A271" t="s">
        <v>33</v>
      </c>
      <c r="B271">
        <v>2020</v>
      </c>
      <c r="C271" t="s">
        <v>39</v>
      </c>
      <c r="D271">
        <f>'All_India_Index_Upto_April23 (1'!D271+'All_India_Index_Upto_April23 (1'!G271+'All_India_Index_Upto_April23 (1'!H271+'All_India_Index_Upto_April23 (1'!I271+'All_India_Index_Upto_April23 (1'!J271+'All_India_Index_Upto_April23 (1'!K271+'All_India_Index_Upto_April23 (1'!L271+'All_India_Index_Upto_April23 (1'!M271+'All_India_Index_Upto_April23 (1'!N271+'All_India_Index_Upto_April23 (1'!O271+'All_India_Index_Upto_April23 (1'!P271</f>
        <v>1622.7</v>
      </c>
      <c r="E271">
        <f>'All_India_Index_Upto_April23 (1'!E271+'All_India_Index_Upto_April23 (1'!F271</f>
        <v>344.1</v>
      </c>
      <c r="F271">
        <v>183.5</v>
      </c>
      <c r="G271">
        <f>'All_India_Index_Upto_April23 (1'!R271+'All_India_Index_Upto_April23 (1'!S271+'All_India_Index_Upto_April23 (1'!T271</f>
        <v>448.29999999999995</v>
      </c>
      <c r="H271">
        <f>'All_India_Index_Upto_April23 (1'!U271+'All_India_Index_Upto_April23 (1'!W271</f>
        <v>301.10000000000002</v>
      </c>
      <c r="I271">
        <v>141.9</v>
      </c>
      <c r="J271">
        <v>154.4</v>
      </c>
      <c r="K271">
        <v>135</v>
      </c>
      <c r="L271">
        <f>'All_India_Index_Upto_April23 (1'!Z271+'All_India_Index_Upto_April23 (1'!AA271+'All_India_Index_Upto_April23 (1'!AB271+'All_India_Index_Upto_April23 (1'!AC271+'All_India_Index_Upto_April23 (1'!AD271</f>
        <v>755.10000000000014</v>
      </c>
      <c r="M271">
        <f t="shared" si="44"/>
        <v>4086.1000000000004</v>
      </c>
      <c r="N271">
        <f t="shared" si="45"/>
        <v>39.71268446685103</v>
      </c>
      <c r="O271">
        <f t="shared" si="46"/>
        <v>8.4212329605247049</v>
      </c>
      <c r="P271">
        <f t="shared" si="47"/>
        <v>4.4908347813318317</v>
      </c>
      <c r="Q271">
        <f t="shared" si="48"/>
        <v>10.971341866327302</v>
      </c>
      <c r="R271">
        <f t="shared" si="49"/>
        <v>7.3688847556349577</v>
      </c>
      <c r="S271">
        <f t="shared" si="50"/>
        <v>3.4727490761361688</v>
      </c>
      <c r="T271">
        <f t="shared" si="51"/>
        <v>3.7786642519762119</v>
      </c>
      <c r="U271">
        <f t="shared" si="52"/>
        <v>3.3038838990724648</v>
      </c>
      <c r="V271">
        <f t="shared" si="53"/>
        <v>18.479723942145323</v>
      </c>
      <c r="W271">
        <f t="shared" si="54"/>
        <v>99.999999999999986</v>
      </c>
    </row>
    <row r="272" spans="1:23" x14ac:dyDescent="0.3">
      <c r="A272" t="s">
        <v>30</v>
      </c>
      <c r="B272">
        <v>2020</v>
      </c>
      <c r="C272" t="s">
        <v>40</v>
      </c>
      <c r="D272">
        <f>'All_India_Index_Upto_April23 (1'!D272+'All_India_Index_Upto_April23 (1'!G272+'All_India_Index_Upto_April23 (1'!H272+'All_India_Index_Upto_April23 (1'!I272+'All_India_Index_Upto_April23 (1'!J272+'All_India_Index_Upto_April23 (1'!K272+'All_India_Index_Upto_April23 (1'!L272+'All_India_Index_Upto_April23 (1'!M272+'All_India_Index_Upto_April23 (1'!N272+'All_India_Index_Upto_April23 (1'!O272+'All_India_Index_Upto_April23 (1'!P272</f>
        <v>1643</v>
      </c>
      <c r="E272">
        <f>'All_India_Index_Upto_April23 (1'!E272+'All_India_Index_Upto_April23 (1'!F272</f>
        <v>335.6</v>
      </c>
      <c r="F272">
        <v>180.9</v>
      </c>
      <c r="G272">
        <f>'All_India_Index_Upto_April23 (1'!R272+'All_India_Index_Upto_April23 (1'!S272+'All_India_Index_Upto_April23 (1'!T272</f>
        <v>458.7</v>
      </c>
      <c r="H272">
        <f>'All_India_Index_Upto_April23 (1'!U272+'All_India_Index_Upto_April23 (1'!W272</f>
        <v>151.9</v>
      </c>
      <c r="I272">
        <v>145.80000000000001</v>
      </c>
      <c r="J272">
        <v>158.80000000000001</v>
      </c>
      <c r="K272">
        <v>143.6</v>
      </c>
      <c r="L272">
        <f>'All_India_Index_Upto_April23 (1'!Z272+'All_India_Index_Upto_April23 (1'!AA272+'All_India_Index_Upto_April23 (1'!AB272+'All_India_Index_Upto_April23 (1'!AC272+'All_India_Index_Upto_April23 (1'!AD272</f>
        <v>776.2</v>
      </c>
      <c r="M272">
        <f t="shared" si="44"/>
        <v>3994.5</v>
      </c>
      <c r="N272">
        <f t="shared" si="45"/>
        <v>41.131555889347851</v>
      </c>
      <c r="O272">
        <f t="shared" si="46"/>
        <v>8.4015521341845041</v>
      </c>
      <c r="P272">
        <f t="shared" si="47"/>
        <v>4.5287269996244834</v>
      </c>
      <c r="Q272">
        <f t="shared" si="48"/>
        <v>11.483289523094255</v>
      </c>
      <c r="R272">
        <f t="shared" si="49"/>
        <v>3.8027287520340471</v>
      </c>
      <c r="S272">
        <f t="shared" si="50"/>
        <v>3.6500187758167484</v>
      </c>
      <c r="T272">
        <f t="shared" si="51"/>
        <v>3.9754662661159097</v>
      </c>
      <c r="U272">
        <f t="shared" si="52"/>
        <v>3.5949430466891972</v>
      </c>
      <c r="V272">
        <f t="shared" si="53"/>
        <v>19.431718613093004</v>
      </c>
      <c r="W272">
        <f t="shared" si="54"/>
        <v>100</v>
      </c>
    </row>
    <row r="273" spans="1:23" x14ac:dyDescent="0.3">
      <c r="A273" t="s">
        <v>32</v>
      </c>
      <c r="B273">
        <v>2020</v>
      </c>
      <c r="C273" t="s">
        <v>40</v>
      </c>
      <c r="D273">
        <f>'All_India_Index_Upto_April23 (1'!D273+'All_India_Index_Upto_April23 (1'!G273+'All_India_Index_Upto_April23 (1'!H273+'All_India_Index_Upto_April23 (1'!I273+'All_India_Index_Upto_April23 (1'!J273+'All_India_Index_Upto_April23 (1'!K273+'All_India_Index_Upto_April23 (1'!L273+'All_India_Index_Upto_April23 (1'!M273+'All_India_Index_Upto_April23 (1'!N273+'All_India_Index_Upto_April23 (1'!O273+'All_India_Index_Upto_April23 (1'!P273</f>
        <v>1672.6</v>
      </c>
      <c r="E273">
        <f>'All_India_Index_Upto_April23 (1'!E273+'All_India_Index_Upto_April23 (1'!F273</f>
        <v>352.3</v>
      </c>
      <c r="F273">
        <v>187.2</v>
      </c>
      <c r="G273">
        <f>'All_India_Index_Upto_April23 (1'!R273+'All_India_Index_Upto_April23 (1'!S273+'All_India_Index_Upto_April23 (1'!T273</f>
        <v>433</v>
      </c>
      <c r="H273">
        <f>'All_India_Index_Upto_April23 (1'!U273+'All_India_Index_Upto_April23 (1'!W273</f>
        <v>300</v>
      </c>
      <c r="I273">
        <v>138.30000000000001</v>
      </c>
      <c r="J273">
        <v>148.69999999999999</v>
      </c>
      <c r="K273">
        <v>133.9</v>
      </c>
      <c r="L273">
        <f>'All_India_Index_Upto_April23 (1'!Z273+'All_India_Index_Upto_April23 (1'!AA273+'All_India_Index_Upto_April23 (1'!AB273+'All_India_Index_Upto_April23 (1'!AC273+'All_India_Index_Upto_April23 (1'!AD273</f>
        <v>749.6</v>
      </c>
      <c r="M273">
        <f t="shared" si="44"/>
        <v>4115.6000000000004</v>
      </c>
      <c r="N273">
        <f t="shared" si="45"/>
        <v>40.640489843522204</v>
      </c>
      <c r="O273">
        <f t="shared" si="46"/>
        <v>8.5601127417630476</v>
      </c>
      <c r="P273">
        <f t="shared" si="47"/>
        <v>4.5485469919331321</v>
      </c>
      <c r="Q273">
        <f t="shared" si="48"/>
        <v>10.520944698221401</v>
      </c>
      <c r="R273">
        <f t="shared" si="49"/>
        <v>7.2893381280979677</v>
      </c>
      <c r="S273">
        <f t="shared" si="50"/>
        <v>3.3603848770531637</v>
      </c>
      <c r="T273">
        <f t="shared" si="51"/>
        <v>3.6130819321605592</v>
      </c>
      <c r="U273">
        <f t="shared" si="52"/>
        <v>3.2534745845077269</v>
      </c>
      <c r="V273">
        <f t="shared" si="53"/>
        <v>18.213626202740791</v>
      </c>
      <c r="W273">
        <f t="shared" si="54"/>
        <v>100</v>
      </c>
    </row>
    <row r="274" spans="1:23" x14ac:dyDescent="0.3">
      <c r="A274" t="s">
        <v>33</v>
      </c>
      <c r="B274">
        <v>2020</v>
      </c>
      <c r="C274" t="s">
        <v>40</v>
      </c>
      <c r="D274">
        <f>'All_India_Index_Upto_April23 (1'!D274+'All_India_Index_Upto_April23 (1'!G274+'All_India_Index_Upto_April23 (1'!H274+'All_India_Index_Upto_April23 (1'!I274+'All_India_Index_Upto_April23 (1'!J274+'All_India_Index_Upto_April23 (1'!K274+'All_India_Index_Upto_April23 (1'!L274+'All_India_Index_Upto_April23 (1'!M274+'All_India_Index_Upto_April23 (1'!N274+'All_India_Index_Upto_April23 (1'!O274+'All_India_Index_Upto_April23 (1'!P274</f>
        <v>1653.4999999999998</v>
      </c>
      <c r="E274">
        <f>'All_India_Index_Upto_April23 (1'!E274+'All_India_Index_Upto_April23 (1'!F274</f>
        <v>341.70000000000005</v>
      </c>
      <c r="F274">
        <v>182.6</v>
      </c>
      <c r="G274">
        <f>'All_India_Index_Upto_April23 (1'!R274+'All_India_Index_Upto_April23 (1'!S274+'All_India_Index_Upto_April23 (1'!T274</f>
        <v>448.2</v>
      </c>
      <c r="H274">
        <f>'All_India_Index_Upto_April23 (1'!U274+'All_India_Index_Upto_April23 (1'!W274</f>
        <v>303.89999999999998</v>
      </c>
      <c r="I274">
        <v>143</v>
      </c>
      <c r="J274">
        <v>155</v>
      </c>
      <c r="K274">
        <v>138.5</v>
      </c>
      <c r="L274">
        <f>'All_India_Index_Upto_April23 (1'!Z274+'All_India_Index_Upto_April23 (1'!AA274+'All_India_Index_Upto_April23 (1'!AB274+'All_India_Index_Upto_April23 (1'!AC274+'All_India_Index_Upto_April23 (1'!AD274</f>
        <v>761.69999999999993</v>
      </c>
      <c r="M274">
        <f t="shared" si="44"/>
        <v>4128.0999999999995</v>
      </c>
      <c r="N274">
        <f t="shared" si="45"/>
        <v>40.054746735786438</v>
      </c>
      <c r="O274">
        <f t="shared" si="46"/>
        <v>8.2774157602771279</v>
      </c>
      <c r="P274">
        <f t="shared" si="47"/>
        <v>4.4233424577892988</v>
      </c>
      <c r="Q274">
        <f t="shared" si="48"/>
        <v>10.857295123664642</v>
      </c>
      <c r="R274">
        <f t="shared" si="49"/>
        <v>7.3617402679198669</v>
      </c>
      <c r="S274">
        <f t="shared" si="50"/>
        <v>3.4640633705578843</v>
      </c>
      <c r="T274">
        <f t="shared" si="51"/>
        <v>3.7547540030522519</v>
      </c>
      <c r="U274">
        <f t="shared" si="52"/>
        <v>3.355054383372496</v>
      </c>
      <c r="V274">
        <f t="shared" si="53"/>
        <v>18.451587897580001</v>
      </c>
      <c r="W274">
        <f t="shared" si="54"/>
        <v>100</v>
      </c>
    </row>
    <row r="275" spans="1:23" x14ac:dyDescent="0.3">
      <c r="A275" t="s">
        <v>30</v>
      </c>
      <c r="B275">
        <v>2020</v>
      </c>
      <c r="C275" t="s">
        <v>41</v>
      </c>
      <c r="D275">
        <f>'All_India_Index_Upto_April23 (1'!D275+'All_India_Index_Upto_April23 (1'!G275+'All_India_Index_Upto_April23 (1'!H275+'All_India_Index_Upto_April23 (1'!I275+'All_India_Index_Upto_April23 (1'!J275+'All_India_Index_Upto_April23 (1'!K275+'All_India_Index_Upto_April23 (1'!L275+'All_India_Index_Upto_April23 (1'!M275+'All_India_Index_Upto_April23 (1'!N275+'All_India_Index_Upto_April23 (1'!O275+'All_India_Index_Upto_April23 (1'!P275</f>
        <v>1653.9999999999998</v>
      </c>
      <c r="E275">
        <f>'All_India_Index_Upto_April23 (1'!E275+'All_India_Index_Upto_April23 (1'!F275</f>
        <v>333.4</v>
      </c>
      <c r="F275">
        <v>182.9</v>
      </c>
      <c r="G275">
        <f>'All_India_Index_Upto_April23 (1'!R275+'All_India_Index_Upto_April23 (1'!S275+'All_India_Index_Upto_April23 (1'!T275</f>
        <v>459.9</v>
      </c>
      <c r="H275">
        <f>'All_India_Index_Upto_April23 (1'!U275+'All_India_Index_Upto_April23 (1'!W275</f>
        <v>151.6</v>
      </c>
      <c r="I275">
        <v>146.4</v>
      </c>
      <c r="J275">
        <v>159.1</v>
      </c>
      <c r="K275">
        <v>144.6</v>
      </c>
      <c r="L275">
        <f>'All_India_Index_Upto_April23 (1'!Z275+'All_India_Index_Upto_April23 (1'!AA275+'All_India_Index_Upto_April23 (1'!AB275+'All_India_Index_Upto_April23 (1'!AC275+'All_India_Index_Upto_April23 (1'!AD275</f>
        <v>780.4</v>
      </c>
      <c r="M275">
        <f t="shared" si="44"/>
        <v>4012.2999999999997</v>
      </c>
      <c r="N275">
        <f t="shared" si="45"/>
        <v>41.223238541484932</v>
      </c>
      <c r="O275">
        <f t="shared" si="46"/>
        <v>8.3094484460284619</v>
      </c>
      <c r="P275">
        <f t="shared" si="47"/>
        <v>4.5584826658026572</v>
      </c>
      <c r="Q275">
        <f t="shared" si="48"/>
        <v>11.462253570271416</v>
      </c>
      <c r="R275">
        <f t="shared" si="49"/>
        <v>3.7783814769583532</v>
      </c>
      <c r="S275">
        <f t="shared" si="50"/>
        <v>3.6487800014954019</v>
      </c>
      <c r="T275">
        <f t="shared" si="51"/>
        <v>3.9653066819529945</v>
      </c>
      <c r="U275">
        <f t="shared" si="52"/>
        <v>3.6039179522966878</v>
      </c>
      <c r="V275">
        <f t="shared" si="53"/>
        <v>19.450190663709098</v>
      </c>
      <c r="W275">
        <f t="shared" si="54"/>
        <v>100</v>
      </c>
    </row>
    <row r="276" spans="1:23" x14ac:dyDescent="0.3">
      <c r="A276" t="s">
        <v>32</v>
      </c>
      <c r="B276">
        <v>2020</v>
      </c>
      <c r="C276" t="s">
        <v>41</v>
      </c>
      <c r="D276">
        <f>'All_India_Index_Upto_April23 (1'!D276+'All_India_Index_Upto_April23 (1'!G276+'All_India_Index_Upto_April23 (1'!H276+'All_India_Index_Upto_April23 (1'!I276+'All_India_Index_Upto_April23 (1'!J276+'All_India_Index_Upto_April23 (1'!K276+'All_India_Index_Upto_April23 (1'!L276+'All_India_Index_Upto_April23 (1'!M276+'All_India_Index_Upto_April23 (1'!N276+'All_India_Index_Upto_April23 (1'!O276+'All_India_Index_Upto_April23 (1'!P276</f>
        <v>1691.2000000000003</v>
      </c>
      <c r="E276">
        <f>'All_India_Index_Upto_April23 (1'!E276+'All_India_Index_Upto_April23 (1'!F276</f>
        <v>350.4</v>
      </c>
      <c r="F276">
        <v>188.7</v>
      </c>
      <c r="G276">
        <f>'All_India_Index_Upto_April23 (1'!R276+'All_India_Index_Upto_April23 (1'!S276+'All_India_Index_Upto_April23 (1'!T276</f>
        <v>434.6</v>
      </c>
      <c r="H276">
        <f>'All_India_Index_Upto_April23 (1'!U276+'All_India_Index_Upto_April23 (1'!W276</f>
        <v>301.70000000000005</v>
      </c>
      <c r="I276">
        <v>137.19999999999999</v>
      </c>
      <c r="J276">
        <v>150</v>
      </c>
      <c r="K276">
        <v>135.1</v>
      </c>
      <c r="L276">
        <f>'All_India_Index_Upto_April23 (1'!Z276+'All_India_Index_Upto_April23 (1'!AA276+'All_India_Index_Upto_April23 (1'!AB276+'All_India_Index_Upto_April23 (1'!AC276+'All_India_Index_Upto_April23 (1'!AD276</f>
        <v>756.5</v>
      </c>
      <c r="M276">
        <f t="shared" si="44"/>
        <v>4145.3999999999996</v>
      </c>
      <c r="N276">
        <f t="shared" si="45"/>
        <v>40.797028031070596</v>
      </c>
      <c r="O276">
        <f t="shared" si="46"/>
        <v>8.4527427992473587</v>
      </c>
      <c r="P276">
        <f t="shared" si="47"/>
        <v>4.5520335793892022</v>
      </c>
      <c r="Q276">
        <f t="shared" si="48"/>
        <v>10.483909876007141</v>
      </c>
      <c r="R276">
        <f t="shared" si="49"/>
        <v>7.2779466396487695</v>
      </c>
      <c r="S276">
        <f t="shared" si="50"/>
        <v>3.3096926713947989</v>
      </c>
      <c r="T276">
        <f t="shared" si="51"/>
        <v>3.6184686640613695</v>
      </c>
      <c r="U276">
        <f t="shared" si="52"/>
        <v>3.2590341100979399</v>
      </c>
      <c r="V276">
        <f t="shared" si="53"/>
        <v>18.249143629082841</v>
      </c>
      <c r="W276">
        <f t="shared" si="54"/>
        <v>100.00000000000003</v>
      </c>
    </row>
    <row r="277" spans="1:23" x14ac:dyDescent="0.3">
      <c r="A277" t="s">
        <v>33</v>
      </c>
      <c r="B277">
        <v>2020</v>
      </c>
      <c r="C277" t="s">
        <v>41</v>
      </c>
      <c r="D277">
        <f>'All_India_Index_Upto_April23 (1'!D277+'All_India_Index_Upto_April23 (1'!G277+'All_India_Index_Upto_April23 (1'!H277+'All_India_Index_Upto_April23 (1'!I277+'All_India_Index_Upto_April23 (1'!J277+'All_India_Index_Upto_April23 (1'!K277+'All_India_Index_Upto_April23 (1'!L277+'All_India_Index_Upto_April23 (1'!M277+'All_India_Index_Upto_April23 (1'!N277+'All_India_Index_Upto_April23 (1'!O277+'All_India_Index_Upto_April23 (1'!P277</f>
        <v>1667.4</v>
      </c>
      <c r="E277">
        <f>'All_India_Index_Upto_April23 (1'!E277+'All_India_Index_Upto_April23 (1'!F277</f>
        <v>339.6</v>
      </c>
      <c r="F277">
        <v>184.4</v>
      </c>
      <c r="G277">
        <f>'All_India_Index_Upto_April23 (1'!R277+'All_India_Index_Upto_April23 (1'!S277+'All_India_Index_Upto_April23 (1'!T277</f>
        <v>449.70000000000005</v>
      </c>
      <c r="H277">
        <f>'All_India_Index_Upto_April23 (1'!U277+'All_India_Index_Upto_April23 (1'!W277</f>
        <v>305</v>
      </c>
      <c r="I277">
        <v>142.9</v>
      </c>
      <c r="J277">
        <v>155.6</v>
      </c>
      <c r="K277">
        <v>139.6</v>
      </c>
      <c r="L277">
        <f>'All_India_Index_Upto_April23 (1'!Z277+'All_India_Index_Upto_April23 (1'!AA277+'All_India_Index_Upto_April23 (1'!AB277+'All_India_Index_Upto_April23 (1'!AC277+'All_India_Index_Upto_April23 (1'!AD277</f>
        <v>767.2</v>
      </c>
      <c r="M277">
        <f t="shared" si="44"/>
        <v>4151.4000000000005</v>
      </c>
      <c r="N277">
        <f t="shared" si="45"/>
        <v>40.164763694175456</v>
      </c>
      <c r="O277">
        <f t="shared" si="46"/>
        <v>8.1803728862552383</v>
      </c>
      <c r="P277">
        <f t="shared" si="47"/>
        <v>4.4418750301103236</v>
      </c>
      <c r="Q277">
        <f t="shared" si="48"/>
        <v>10.83249024425495</v>
      </c>
      <c r="R277">
        <f t="shared" si="49"/>
        <v>7.3469191116249926</v>
      </c>
      <c r="S277">
        <f t="shared" si="50"/>
        <v>3.4422122657416772</v>
      </c>
      <c r="T277">
        <f t="shared" si="51"/>
        <v>3.7481331598978649</v>
      </c>
      <c r="U277">
        <f t="shared" si="52"/>
        <v>3.362721009779833</v>
      </c>
      <c r="V277">
        <f t="shared" si="53"/>
        <v>18.480512598159656</v>
      </c>
      <c r="W277">
        <f t="shared" si="54"/>
        <v>99.999999999999972</v>
      </c>
    </row>
    <row r="278" spans="1:23" x14ac:dyDescent="0.3">
      <c r="A278" t="s">
        <v>30</v>
      </c>
      <c r="B278">
        <v>2020</v>
      </c>
      <c r="C278" t="s">
        <v>42</v>
      </c>
      <c r="D278">
        <f>'All_India_Index_Upto_April23 (1'!D278+'All_India_Index_Upto_April23 (1'!G278+'All_India_Index_Upto_April23 (1'!H278+'All_India_Index_Upto_April23 (1'!I278+'All_India_Index_Upto_April23 (1'!J278+'All_India_Index_Upto_April23 (1'!K278+'All_India_Index_Upto_April23 (1'!L278+'All_India_Index_Upto_April23 (1'!M278+'All_India_Index_Upto_April23 (1'!N278+'All_India_Index_Upto_April23 (1'!O278+'All_India_Index_Upto_April23 (1'!P278</f>
        <v>1685.4000000000003</v>
      </c>
      <c r="E278">
        <f>'All_India_Index_Upto_April23 (1'!E278+'All_India_Index_Upto_April23 (1'!F278</f>
        <v>345.5</v>
      </c>
      <c r="F278">
        <v>182.7</v>
      </c>
      <c r="G278">
        <f>'All_India_Index_Upto_April23 (1'!R278+'All_India_Index_Upto_April23 (1'!S278+'All_India_Index_Upto_April23 (1'!T278</f>
        <v>461.29999999999995</v>
      </c>
      <c r="H278">
        <f>'All_India_Index_Upto_April23 (1'!U278+'All_India_Index_Upto_April23 (1'!W278</f>
        <v>152</v>
      </c>
      <c r="I278">
        <v>146.80000000000001</v>
      </c>
      <c r="J278">
        <v>159.5</v>
      </c>
      <c r="K278">
        <v>146.4</v>
      </c>
      <c r="L278">
        <f>'All_India_Index_Upto_April23 (1'!Z278+'All_India_Index_Upto_April23 (1'!AA278+'All_India_Index_Upto_April23 (1'!AB278+'All_India_Index_Upto_April23 (1'!AC278+'All_India_Index_Upto_April23 (1'!AD278</f>
        <v>782.9</v>
      </c>
      <c r="M278">
        <f t="shared" si="44"/>
        <v>4062.5000000000009</v>
      </c>
      <c r="N278">
        <f t="shared" si="45"/>
        <v>41.486769230769227</v>
      </c>
      <c r="O278">
        <f t="shared" si="46"/>
        <v>8.5046153846153825</v>
      </c>
      <c r="P278">
        <f t="shared" si="47"/>
        <v>4.497230769230768</v>
      </c>
      <c r="Q278">
        <f t="shared" si="48"/>
        <v>11.355076923076918</v>
      </c>
      <c r="R278">
        <f t="shared" si="49"/>
        <v>3.7415384615384606</v>
      </c>
      <c r="S278">
        <f t="shared" si="50"/>
        <v>3.6135384615384609</v>
      </c>
      <c r="T278">
        <f t="shared" si="51"/>
        <v>3.926153846153845</v>
      </c>
      <c r="U278">
        <f t="shared" si="52"/>
        <v>3.6036923076923069</v>
      </c>
      <c r="V278">
        <f t="shared" si="53"/>
        <v>19.271384615384608</v>
      </c>
      <c r="W278">
        <f t="shared" si="54"/>
        <v>99.999999999999986</v>
      </c>
    </row>
    <row r="279" spans="1:23" x14ac:dyDescent="0.3">
      <c r="A279" t="s">
        <v>32</v>
      </c>
      <c r="B279">
        <v>2020</v>
      </c>
      <c r="C279" t="s">
        <v>42</v>
      </c>
      <c r="D279">
        <f>'All_India_Index_Upto_April23 (1'!D279+'All_India_Index_Upto_April23 (1'!G279+'All_India_Index_Upto_April23 (1'!H279+'All_India_Index_Upto_April23 (1'!I279+'All_India_Index_Upto_April23 (1'!J279+'All_India_Index_Upto_April23 (1'!K279+'All_India_Index_Upto_April23 (1'!L279+'All_India_Index_Upto_April23 (1'!M279+'All_India_Index_Upto_April23 (1'!N279+'All_India_Index_Upto_April23 (1'!O279+'All_India_Index_Upto_April23 (1'!P279</f>
        <v>1721.6999999999998</v>
      </c>
      <c r="E279">
        <f>'All_India_Index_Upto_April23 (1'!E279+'All_India_Index_Upto_April23 (1'!F279</f>
        <v>358.5</v>
      </c>
      <c r="F279">
        <v>188.7</v>
      </c>
      <c r="G279">
        <f>'All_India_Index_Upto_April23 (1'!R279+'All_India_Index_Upto_April23 (1'!S279+'All_India_Index_Upto_April23 (1'!T279</f>
        <v>434.90000000000003</v>
      </c>
      <c r="H279">
        <f>'All_India_Index_Upto_April23 (1'!U279+'All_India_Index_Upto_April23 (1'!W279</f>
        <v>301.60000000000002</v>
      </c>
      <c r="I279">
        <v>137.1</v>
      </c>
      <c r="J279">
        <v>151</v>
      </c>
      <c r="K279">
        <v>135.4</v>
      </c>
      <c r="L279">
        <f>'All_India_Index_Upto_April23 (1'!Z279+'All_India_Index_Upto_April23 (1'!AA279+'All_India_Index_Upto_April23 (1'!AB279+'All_India_Index_Upto_April23 (1'!AC279+'All_India_Index_Upto_April23 (1'!AD279</f>
        <v>757.2</v>
      </c>
      <c r="M279">
        <f t="shared" si="44"/>
        <v>4186.0999999999995</v>
      </c>
      <c r="N279">
        <f t="shared" si="45"/>
        <v>41.128974463104086</v>
      </c>
      <c r="O279">
        <f t="shared" si="46"/>
        <v>8.5640572370464163</v>
      </c>
      <c r="P279">
        <f t="shared" si="47"/>
        <v>4.5077757339767333</v>
      </c>
      <c r="Q279">
        <f t="shared" si="48"/>
        <v>10.389145027591317</v>
      </c>
      <c r="R279">
        <f t="shared" si="49"/>
        <v>7.2047968275960939</v>
      </c>
      <c r="S279">
        <f t="shared" si="50"/>
        <v>3.2751248178495498</v>
      </c>
      <c r="T279">
        <f t="shared" si="51"/>
        <v>3.6071761305272219</v>
      </c>
      <c r="U279">
        <f t="shared" si="52"/>
        <v>3.2345142256515613</v>
      </c>
      <c r="V279">
        <f t="shared" si="53"/>
        <v>18.088435536657034</v>
      </c>
      <c r="W279">
        <f t="shared" si="54"/>
        <v>100.00000000000001</v>
      </c>
    </row>
    <row r="280" spans="1:23" x14ac:dyDescent="0.3">
      <c r="A280" t="s">
        <v>33</v>
      </c>
      <c r="B280">
        <v>2020</v>
      </c>
      <c r="C280" t="s">
        <v>42</v>
      </c>
      <c r="D280">
        <f>'All_India_Index_Upto_April23 (1'!D280+'All_India_Index_Upto_April23 (1'!G280+'All_India_Index_Upto_April23 (1'!H280+'All_India_Index_Upto_April23 (1'!I280+'All_India_Index_Upto_April23 (1'!J280+'All_India_Index_Upto_April23 (1'!K280+'All_India_Index_Upto_April23 (1'!L280+'All_India_Index_Upto_April23 (1'!M280+'All_India_Index_Upto_April23 (1'!N280+'All_India_Index_Upto_April23 (1'!O280+'All_India_Index_Upto_April23 (1'!P280</f>
        <v>1698.3000000000002</v>
      </c>
      <c r="E280">
        <f>'All_India_Index_Upto_April23 (1'!E280+'All_India_Index_Upto_April23 (1'!F280</f>
        <v>350.3</v>
      </c>
      <c r="F280">
        <v>184.3</v>
      </c>
      <c r="G280">
        <f>'All_India_Index_Upto_April23 (1'!R280+'All_India_Index_Upto_April23 (1'!S280+'All_India_Index_Upto_April23 (1'!T280</f>
        <v>450.59999999999997</v>
      </c>
      <c r="H280">
        <f>'All_India_Index_Upto_April23 (1'!U280+'All_India_Index_Upto_April23 (1'!W280</f>
        <v>305.2</v>
      </c>
      <c r="I280">
        <v>143.1</v>
      </c>
      <c r="J280">
        <v>156.30000000000001</v>
      </c>
      <c r="K280">
        <v>140.6</v>
      </c>
      <c r="L280">
        <f>'All_India_Index_Upto_April23 (1'!Z280+'All_India_Index_Upto_April23 (1'!AA280+'All_India_Index_Upto_April23 (1'!AB280+'All_India_Index_Upto_April23 (1'!AC280+'All_India_Index_Upto_April23 (1'!AD280</f>
        <v>768.8</v>
      </c>
      <c r="M280">
        <f t="shared" si="44"/>
        <v>4197.5</v>
      </c>
      <c r="N280">
        <f t="shared" si="45"/>
        <v>40.459797498511023</v>
      </c>
      <c r="O280">
        <f t="shared" si="46"/>
        <v>8.3454437164979165</v>
      </c>
      <c r="P280">
        <f t="shared" si="47"/>
        <v>4.3907087552114357</v>
      </c>
      <c r="Q280">
        <f t="shared" si="48"/>
        <v>10.734961286480047</v>
      </c>
      <c r="R280">
        <f t="shared" si="49"/>
        <v>7.2709946396664682</v>
      </c>
      <c r="S280">
        <f t="shared" si="50"/>
        <v>3.4091721262656338</v>
      </c>
      <c r="T280">
        <f t="shared" si="51"/>
        <v>3.7236450268016683</v>
      </c>
      <c r="U280">
        <f t="shared" si="52"/>
        <v>3.3496128648004762</v>
      </c>
      <c r="V280">
        <f t="shared" si="53"/>
        <v>18.315664085765334</v>
      </c>
      <c r="W280">
        <f t="shared" si="54"/>
        <v>100</v>
      </c>
    </row>
    <row r="281" spans="1:23" x14ac:dyDescent="0.3">
      <c r="A281" t="s">
        <v>30</v>
      </c>
      <c r="B281">
        <v>2020</v>
      </c>
      <c r="C281" t="s">
        <v>44</v>
      </c>
      <c r="D281">
        <f>'All_India_Index_Upto_April23 (1'!D281+'All_India_Index_Upto_April23 (1'!G281+'All_India_Index_Upto_April23 (1'!H281+'All_India_Index_Upto_April23 (1'!I281+'All_India_Index_Upto_April23 (1'!J281+'All_India_Index_Upto_April23 (1'!K281+'All_India_Index_Upto_April23 (1'!L281+'All_India_Index_Upto_April23 (1'!M281+'All_India_Index_Upto_April23 (1'!N281+'All_India_Index_Upto_April23 (1'!O281+'All_India_Index_Upto_April23 (1'!P281</f>
        <v>1722.2</v>
      </c>
      <c r="E281">
        <f>'All_India_Index_Upto_April23 (1'!E281+'All_India_Index_Upto_April23 (1'!F281</f>
        <v>360.2</v>
      </c>
      <c r="F281">
        <v>183.4</v>
      </c>
      <c r="G281">
        <f>'All_India_Index_Upto_April23 (1'!R281+'All_India_Index_Upto_April23 (1'!S281+'All_India_Index_Upto_April23 (1'!T281</f>
        <v>462.8</v>
      </c>
      <c r="H281">
        <f>'All_India_Index_Upto_April23 (1'!U281+'All_India_Index_Upto_April23 (1'!W281</f>
        <v>152.80000000000001</v>
      </c>
      <c r="I281">
        <v>147.5</v>
      </c>
      <c r="J281">
        <v>160.4</v>
      </c>
      <c r="K281">
        <v>146.1</v>
      </c>
      <c r="L281">
        <f>'All_India_Index_Upto_April23 (1'!Z281+'All_India_Index_Upto_April23 (1'!AA281+'All_India_Index_Upto_April23 (1'!AB281+'All_India_Index_Upto_April23 (1'!AC281+'All_India_Index_Upto_April23 (1'!AD281</f>
        <v>785.7</v>
      </c>
      <c r="M281">
        <f t="shared" si="44"/>
        <v>4121.1000000000004</v>
      </c>
      <c r="N281">
        <f t="shared" si="45"/>
        <v>41.789813399335124</v>
      </c>
      <c r="O281">
        <f t="shared" si="46"/>
        <v>8.7403848487054425</v>
      </c>
      <c r="P281">
        <f t="shared" si="47"/>
        <v>4.4502681322947755</v>
      </c>
      <c r="Q281">
        <f t="shared" si="48"/>
        <v>11.23001140472204</v>
      </c>
      <c r="R281">
        <f t="shared" si="49"/>
        <v>3.7077479313775448</v>
      </c>
      <c r="S281">
        <f t="shared" si="50"/>
        <v>3.5791414913493966</v>
      </c>
      <c r="T281">
        <f t="shared" si="51"/>
        <v>3.8921647133046999</v>
      </c>
      <c r="U281">
        <f t="shared" si="52"/>
        <v>3.5451699788891311</v>
      </c>
      <c r="V281">
        <f t="shared" si="53"/>
        <v>19.065298100021838</v>
      </c>
      <c r="W281">
        <f t="shared" si="54"/>
        <v>99.999999999999986</v>
      </c>
    </row>
    <row r="282" spans="1:23" x14ac:dyDescent="0.3">
      <c r="A282" t="s">
        <v>32</v>
      </c>
      <c r="B282">
        <v>2020</v>
      </c>
      <c r="C282" t="s">
        <v>44</v>
      </c>
      <c r="D282">
        <f>'All_India_Index_Upto_April23 (1'!D282+'All_India_Index_Upto_April23 (1'!G282+'All_India_Index_Upto_April23 (1'!H282+'All_India_Index_Upto_April23 (1'!I282+'All_India_Index_Upto_April23 (1'!J282+'All_India_Index_Upto_April23 (1'!K282+'All_India_Index_Upto_April23 (1'!L282+'All_India_Index_Upto_April23 (1'!M282+'All_India_Index_Upto_April23 (1'!N282+'All_India_Index_Upto_April23 (1'!O282+'All_India_Index_Upto_April23 (1'!P282</f>
        <v>1748.3000000000002</v>
      </c>
      <c r="E282">
        <f>'All_India_Index_Upto_April23 (1'!E282+'All_India_Index_Upto_April23 (1'!F282</f>
        <v>372.4</v>
      </c>
      <c r="F282">
        <v>188.8</v>
      </c>
      <c r="G282">
        <f>'All_India_Index_Upto_April23 (1'!R282+'All_India_Index_Upto_April23 (1'!S282+'All_India_Index_Upto_April23 (1'!T282</f>
        <v>436.3</v>
      </c>
      <c r="H282">
        <f>'All_India_Index_Upto_April23 (1'!U282+'All_India_Index_Upto_April23 (1'!W282</f>
        <v>303.10000000000002</v>
      </c>
      <c r="I282">
        <v>137.30000000000001</v>
      </c>
      <c r="J282">
        <v>152</v>
      </c>
      <c r="K282">
        <v>135.19999999999999</v>
      </c>
      <c r="L282">
        <f>'All_India_Index_Upto_April23 (1'!Z282+'All_India_Index_Upto_April23 (1'!AA282+'All_India_Index_Upto_April23 (1'!AB282+'All_India_Index_Upto_April23 (1'!AC282+'All_India_Index_Upto_April23 (1'!AD282</f>
        <v>762</v>
      </c>
      <c r="M282">
        <f t="shared" si="44"/>
        <v>4235.4000000000005</v>
      </c>
      <c r="N282">
        <f t="shared" si="45"/>
        <v>41.278273598715586</v>
      </c>
      <c r="O282">
        <f t="shared" si="46"/>
        <v>8.7925579638286795</v>
      </c>
      <c r="P282">
        <f t="shared" si="47"/>
        <v>4.4576663361193747</v>
      </c>
      <c r="Q282">
        <f t="shared" si="48"/>
        <v>10.301270246021627</v>
      </c>
      <c r="R282">
        <f t="shared" si="49"/>
        <v>7.1563488690560506</v>
      </c>
      <c r="S282">
        <f t="shared" si="50"/>
        <v>3.2417245124427443</v>
      </c>
      <c r="T282">
        <f t="shared" si="51"/>
        <v>3.5887991689096657</v>
      </c>
      <c r="U282">
        <f t="shared" si="52"/>
        <v>3.1921424186617551</v>
      </c>
      <c r="V282">
        <f t="shared" si="53"/>
        <v>17.991216886244509</v>
      </c>
      <c r="W282">
        <f t="shared" si="54"/>
        <v>99.999999999999972</v>
      </c>
    </row>
    <row r="283" spans="1:23" x14ac:dyDescent="0.3">
      <c r="A283" t="s">
        <v>33</v>
      </c>
      <c r="B283">
        <v>2020</v>
      </c>
      <c r="C283" t="s">
        <v>44</v>
      </c>
      <c r="D283">
        <f>'All_India_Index_Upto_April23 (1'!D283+'All_India_Index_Upto_April23 (1'!G283+'All_India_Index_Upto_April23 (1'!H283+'All_India_Index_Upto_April23 (1'!I283+'All_India_Index_Upto_April23 (1'!J283+'All_India_Index_Upto_April23 (1'!K283+'All_India_Index_Upto_April23 (1'!L283+'All_India_Index_Upto_April23 (1'!M283+'All_India_Index_Upto_April23 (1'!N283+'All_India_Index_Upto_April23 (1'!O283+'All_India_Index_Upto_April23 (1'!P283</f>
        <v>1731</v>
      </c>
      <c r="E283">
        <f>'All_India_Index_Upto_April23 (1'!E283+'All_India_Index_Upto_April23 (1'!F283</f>
        <v>364.6</v>
      </c>
      <c r="F283">
        <v>184.8</v>
      </c>
      <c r="G283">
        <f>'All_India_Index_Upto_April23 (1'!R283+'All_India_Index_Upto_April23 (1'!S283+'All_India_Index_Upto_April23 (1'!T283</f>
        <v>452.00000000000006</v>
      </c>
      <c r="H283">
        <f>'All_India_Index_Upto_April23 (1'!U283+'All_India_Index_Upto_April23 (1'!W283</f>
        <v>307.2</v>
      </c>
      <c r="I283">
        <v>143.6</v>
      </c>
      <c r="J283">
        <v>157.19999999999999</v>
      </c>
      <c r="K283">
        <v>140.4</v>
      </c>
      <c r="L283">
        <f>'All_India_Index_Upto_April23 (1'!Z283+'All_India_Index_Upto_April23 (1'!AA283+'All_India_Index_Upto_April23 (1'!AB283+'All_India_Index_Upto_April23 (1'!AC283+'All_India_Index_Upto_April23 (1'!AD283</f>
        <v>772.99999999999989</v>
      </c>
      <c r="M283">
        <f t="shared" si="44"/>
        <v>4253.7999999999993</v>
      </c>
      <c r="N283">
        <f t="shared" si="45"/>
        <v>40.69302741078566</v>
      </c>
      <c r="O283">
        <f t="shared" si="46"/>
        <v>8.5711599040857607</v>
      </c>
      <c r="P283">
        <f t="shared" si="47"/>
        <v>4.3443509332831827</v>
      </c>
      <c r="Q283">
        <f t="shared" si="48"/>
        <v>10.625793408246748</v>
      </c>
      <c r="R283">
        <f t="shared" si="49"/>
        <v>7.2217781748084073</v>
      </c>
      <c r="S283">
        <f t="shared" si="50"/>
        <v>3.375805162442993</v>
      </c>
      <c r="T283">
        <f t="shared" si="51"/>
        <v>3.6955193003902398</v>
      </c>
      <c r="U283">
        <f t="shared" si="52"/>
        <v>3.3005783064554053</v>
      </c>
      <c r="V283">
        <f t="shared" si="53"/>
        <v>18.171987399501621</v>
      </c>
      <c r="W283">
        <f t="shared" si="54"/>
        <v>100.00000000000001</v>
      </c>
    </row>
    <row r="284" spans="1:23" x14ac:dyDescent="0.3">
      <c r="A284" t="s">
        <v>30</v>
      </c>
      <c r="B284">
        <v>2020</v>
      </c>
      <c r="C284" t="s">
        <v>45</v>
      </c>
      <c r="D284">
        <f>'All_India_Index_Upto_April23 (1'!D284+'All_India_Index_Upto_April23 (1'!G284+'All_India_Index_Upto_April23 (1'!H284+'All_India_Index_Upto_April23 (1'!I284+'All_India_Index_Upto_April23 (1'!J284+'All_India_Index_Upto_April23 (1'!K284+'All_India_Index_Upto_April23 (1'!L284+'All_India_Index_Upto_April23 (1'!M284+'All_India_Index_Upto_April23 (1'!N284+'All_India_Index_Upto_April23 (1'!O284+'All_India_Index_Upto_April23 (1'!P284</f>
        <v>1738.6000000000001</v>
      </c>
      <c r="E284">
        <f>'All_India_Index_Upto_April23 (1'!E284+'All_India_Index_Upto_April23 (1'!F284</f>
        <v>361.9</v>
      </c>
      <c r="F284">
        <v>183.6</v>
      </c>
      <c r="G284">
        <f>'All_India_Index_Upto_April23 (1'!R284+'All_India_Index_Upto_April23 (1'!S284+'All_India_Index_Upto_April23 (1'!T284</f>
        <v>464.90000000000003</v>
      </c>
      <c r="H284">
        <f>'All_India_Index_Upto_April23 (1'!U284+'All_India_Index_Upto_April23 (1'!W284</f>
        <v>153.4</v>
      </c>
      <c r="I284">
        <v>148.69999999999999</v>
      </c>
      <c r="J284">
        <v>161.6</v>
      </c>
      <c r="K284">
        <v>146.4</v>
      </c>
      <c r="L284">
        <f>'All_India_Index_Upto_April23 (1'!Z284+'All_India_Index_Upto_April23 (1'!AA284+'All_India_Index_Upto_April23 (1'!AB284+'All_India_Index_Upto_April23 (1'!AC284+'All_India_Index_Upto_April23 (1'!AD284</f>
        <v>789.3</v>
      </c>
      <c r="M284">
        <f t="shared" si="44"/>
        <v>4148.3999999999996</v>
      </c>
      <c r="N284">
        <f t="shared" si="45"/>
        <v>41.910134027576909</v>
      </c>
      <c r="O284">
        <f t="shared" si="46"/>
        <v>8.7238453379616239</v>
      </c>
      <c r="P284">
        <f t="shared" si="47"/>
        <v>4.4258027191206253</v>
      </c>
      <c r="Q284">
        <f t="shared" si="48"/>
        <v>11.206730305660015</v>
      </c>
      <c r="R284">
        <f t="shared" si="49"/>
        <v>3.6978112043197382</v>
      </c>
      <c r="S284">
        <f t="shared" si="50"/>
        <v>3.5845145116189374</v>
      </c>
      <c r="T284">
        <f t="shared" si="51"/>
        <v>3.8954777745636875</v>
      </c>
      <c r="U284">
        <f t="shared" si="52"/>
        <v>3.5290714492334398</v>
      </c>
      <c r="V284">
        <f t="shared" si="53"/>
        <v>19.026612669945038</v>
      </c>
      <c r="W284">
        <f t="shared" si="54"/>
        <v>100.00000000000001</v>
      </c>
    </row>
    <row r="285" spans="1:23" x14ac:dyDescent="0.3">
      <c r="A285" t="s">
        <v>32</v>
      </c>
      <c r="B285">
        <v>2020</v>
      </c>
      <c r="C285" t="s">
        <v>45</v>
      </c>
      <c r="D285">
        <f>'All_India_Index_Upto_April23 (1'!D285+'All_India_Index_Upto_April23 (1'!G285+'All_India_Index_Upto_April23 (1'!H285+'All_India_Index_Upto_April23 (1'!I285+'All_India_Index_Upto_April23 (1'!J285+'All_India_Index_Upto_April23 (1'!K285+'All_India_Index_Upto_April23 (1'!L285+'All_India_Index_Upto_April23 (1'!M285+'All_India_Index_Upto_April23 (1'!N285+'All_India_Index_Upto_April23 (1'!O285+'All_India_Index_Upto_April23 (1'!P285</f>
        <v>1751.3999999999999</v>
      </c>
      <c r="E285">
        <f>'All_India_Index_Upto_April23 (1'!E285+'All_India_Index_Upto_April23 (1'!F285</f>
        <v>374</v>
      </c>
      <c r="F285">
        <v>190.2</v>
      </c>
      <c r="G285">
        <f>'All_India_Index_Upto_April23 (1'!R285+'All_India_Index_Upto_April23 (1'!S285+'All_India_Index_Upto_April23 (1'!T285</f>
        <v>438.20000000000005</v>
      </c>
      <c r="H285">
        <f>'All_India_Index_Upto_April23 (1'!U285+'All_India_Index_Upto_April23 (1'!W285</f>
        <v>303.89999999999998</v>
      </c>
      <c r="I285">
        <v>137.9</v>
      </c>
      <c r="J285">
        <v>152.9</v>
      </c>
      <c r="K285">
        <v>135.5</v>
      </c>
      <c r="L285">
        <f>'All_India_Index_Upto_April23 (1'!Z285+'All_India_Index_Upto_April23 (1'!AA285+'All_India_Index_Upto_April23 (1'!AB285+'All_India_Index_Upto_April23 (1'!AC285+'All_India_Index_Upto_April23 (1'!AD285</f>
        <v>762.9</v>
      </c>
      <c r="M285">
        <f t="shared" si="44"/>
        <v>4246.8999999999996</v>
      </c>
      <c r="N285">
        <f t="shared" si="45"/>
        <v>41.239492335585958</v>
      </c>
      <c r="O285">
        <f t="shared" si="46"/>
        <v>8.806423508912383</v>
      </c>
      <c r="P285">
        <f t="shared" si="47"/>
        <v>4.4785608326073136</v>
      </c>
      <c r="Q285">
        <f t="shared" si="48"/>
        <v>10.31811438931927</v>
      </c>
      <c r="R285">
        <f t="shared" si="49"/>
        <v>7.1558077656643668</v>
      </c>
      <c r="S285">
        <f t="shared" si="50"/>
        <v>3.2470743365749137</v>
      </c>
      <c r="T285">
        <f t="shared" si="51"/>
        <v>3.6002731404082984</v>
      </c>
      <c r="U285">
        <f t="shared" si="52"/>
        <v>3.1905625279615721</v>
      </c>
      <c r="V285">
        <f t="shared" si="53"/>
        <v>17.963691162965929</v>
      </c>
      <c r="W285">
        <f t="shared" si="54"/>
        <v>100</v>
      </c>
    </row>
    <row r="286" spans="1:23" x14ac:dyDescent="0.3">
      <c r="A286" t="s">
        <v>33</v>
      </c>
      <c r="B286">
        <v>2020</v>
      </c>
      <c r="C286" t="s">
        <v>45</v>
      </c>
      <c r="D286">
        <f>'All_India_Index_Upto_April23 (1'!D286+'All_India_Index_Upto_April23 (1'!G286+'All_India_Index_Upto_April23 (1'!H286+'All_India_Index_Upto_April23 (1'!I286+'All_India_Index_Upto_April23 (1'!J286+'All_India_Index_Upto_April23 (1'!K286+'All_India_Index_Upto_April23 (1'!L286+'All_India_Index_Upto_April23 (1'!M286+'All_India_Index_Upto_April23 (1'!N286+'All_India_Index_Upto_April23 (1'!O286+'All_India_Index_Upto_April23 (1'!P286</f>
        <v>1742.8000000000002</v>
      </c>
      <c r="E286">
        <f>'All_India_Index_Upto_April23 (1'!E286+'All_India_Index_Upto_April23 (1'!F286</f>
        <v>366.3</v>
      </c>
      <c r="F286">
        <v>185.4</v>
      </c>
      <c r="G286">
        <f>'All_India_Index_Upto_April23 (1'!R286+'All_India_Index_Upto_April23 (1'!S286+'All_India_Index_Upto_April23 (1'!T286</f>
        <v>454</v>
      </c>
      <c r="H286">
        <f>'All_India_Index_Upto_April23 (1'!U286+'All_India_Index_Upto_April23 (1'!W286</f>
        <v>308.10000000000002</v>
      </c>
      <c r="I286">
        <v>144.6</v>
      </c>
      <c r="J286">
        <v>158.30000000000001</v>
      </c>
      <c r="K286">
        <v>140.69999999999999</v>
      </c>
      <c r="L286">
        <f>'All_India_Index_Upto_April23 (1'!Z286+'All_India_Index_Upto_April23 (1'!AA286+'All_India_Index_Upto_April23 (1'!AB286+'All_India_Index_Upto_April23 (1'!AC286+'All_India_Index_Upto_April23 (1'!AD286</f>
        <v>775.1</v>
      </c>
      <c r="M286">
        <f t="shared" si="44"/>
        <v>4275.3</v>
      </c>
      <c r="N286">
        <f t="shared" si="45"/>
        <v>40.764390802984593</v>
      </c>
      <c r="O286">
        <f t="shared" si="46"/>
        <v>8.5678198021191498</v>
      </c>
      <c r="P286">
        <f t="shared" si="47"/>
        <v>4.3365377868219772</v>
      </c>
      <c r="Q286">
        <f t="shared" si="48"/>
        <v>10.619137838280354</v>
      </c>
      <c r="R286">
        <f t="shared" si="49"/>
        <v>7.2065118237316677</v>
      </c>
      <c r="S286">
        <f t="shared" si="50"/>
        <v>3.382218791663743</v>
      </c>
      <c r="T286">
        <f t="shared" si="51"/>
        <v>3.7026641405281504</v>
      </c>
      <c r="U286">
        <f t="shared" si="52"/>
        <v>3.290997123008911</v>
      </c>
      <c r="V286">
        <f t="shared" si="53"/>
        <v>18.129721890861461</v>
      </c>
      <c r="W286">
        <f t="shared" si="54"/>
        <v>100.00000000000001</v>
      </c>
    </row>
    <row r="287" spans="1:23" x14ac:dyDescent="0.3">
      <c r="A287" t="s">
        <v>30</v>
      </c>
      <c r="B287">
        <v>2021</v>
      </c>
      <c r="C287" t="s">
        <v>31</v>
      </c>
      <c r="D287">
        <f>'All_India_Index_Upto_April23 (1'!D287+'All_India_Index_Upto_April23 (1'!G287+'All_India_Index_Upto_April23 (1'!H287+'All_India_Index_Upto_April23 (1'!I287+'All_India_Index_Upto_April23 (1'!J287+'All_India_Index_Upto_April23 (1'!K287+'All_India_Index_Upto_April23 (1'!L287+'All_India_Index_Upto_April23 (1'!M287+'All_India_Index_Upto_April23 (1'!N287+'All_India_Index_Upto_April23 (1'!O287+'All_India_Index_Upto_April23 (1'!P287</f>
        <v>1704.7999999999997</v>
      </c>
      <c r="E287">
        <f>'All_India_Index_Upto_April23 (1'!E287+'All_India_Index_Upto_April23 (1'!F287</f>
        <v>360.9</v>
      </c>
      <c r="F287">
        <v>184.6</v>
      </c>
      <c r="G287">
        <f>'All_India_Index_Upto_April23 (1'!R287+'All_India_Index_Upto_April23 (1'!S287+'All_India_Index_Upto_April23 (1'!T287</f>
        <v>466.7</v>
      </c>
      <c r="H287">
        <f>'All_India_Index_Upto_April23 (1'!U287+'All_India_Index_Upto_April23 (1'!W287</f>
        <v>153.9</v>
      </c>
      <c r="I287">
        <v>150.9</v>
      </c>
      <c r="J287">
        <v>162.5</v>
      </c>
      <c r="K287">
        <v>147.5</v>
      </c>
      <c r="L287">
        <f>'All_India_Index_Upto_April23 (1'!Z287+'All_India_Index_Upto_April23 (1'!AA287+'All_India_Index_Upto_April23 (1'!AB287+'All_India_Index_Upto_April23 (1'!AC287+'All_India_Index_Upto_April23 (1'!AD287</f>
        <v>789.2</v>
      </c>
      <c r="M287">
        <f t="shared" si="44"/>
        <v>4121</v>
      </c>
      <c r="N287">
        <f t="shared" si="45"/>
        <v>41.368599854404266</v>
      </c>
      <c r="O287">
        <f t="shared" si="46"/>
        <v>8.7575831108954123</v>
      </c>
      <c r="P287">
        <f t="shared" si="47"/>
        <v>4.4794952681388018</v>
      </c>
      <c r="Q287">
        <f t="shared" si="48"/>
        <v>11.324921135646687</v>
      </c>
      <c r="R287">
        <f t="shared" si="49"/>
        <v>3.7345304537733561</v>
      </c>
      <c r="S287">
        <f t="shared" si="50"/>
        <v>3.661732589177384</v>
      </c>
      <c r="T287">
        <f t="shared" si="51"/>
        <v>3.9432176656151419</v>
      </c>
      <c r="U287">
        <f t="shared" si="52"/>
        <v>3.5792283426352829</v>
      </c>
      <c r="V287">
        <f t="shared" si="53"/>
        <v>19.150691579713662</v>
      </c>
      <c r="W287">
        <f t="shared" si="54"/>
        <v>100.00000000000001</v>
      </c>
    </row>
    <row r="288" spans="1:23" x14ac:dyDescent="0.3">
      <c r="A288" t="s">
        <v>32</v>
      </c>
      <c r="B288">
        <v>2021</v>
      </c>
      <c r="C288" t="s">
        <v>31</v>
      </c>
      <c r="D288">
        <f>'All_India_Index_Upto_April23 (1'!D288+'All_India_Index_Upto_April23 (1'!G288+'All_India_Index_Upto_April23 (1'!H288+'All_India_Index_Upto_April23 (1'!I288+'All_India_Index_Upto_April23 (1'!J288+'All_India_Index_Upto_April23 (1'!K288+'All_India_Index_Upto_April23 (1'!L288+'All_India_Index_Upto_April23 (1'!M288+'All_India_Index_Upto_April23 (1'!N288+'All_India_Index_Upto_April23 (1'!O288+'All_India_Index_Upto_April23 (1'!P288</f>
        <v>1723.8000000000004</v>
      </c>
      <c r="E288">
        <f>'All_India_Index_Upto_April23 (1'!E288+'All_India_Index_Upto_April23 (1'!F288</f>
        <v>373.20000000000005</v>
      </c>
      <c r="F288">
        <v>191.8</v>
      </c>
      <c r="G288">
        <f>'All_India_Index_Upto_April23 (1'!R288+'All_India_Index_Upto_April23 (1'!S288+'All_India_Index_Upto_April23 (1'!T288</f>
        <v>440</v>
      </c>
      <c r="H288">
        <f>'All_India_Index_Upto_April23 (1'!U288+'All_India_Index_Upto_April23 (1'!W288</f>
        <v>303.39999999999998</v>
      </c>
      <c r="I288">
        <v>142.9</v>
      </c>
      <c r="J288">
        <v>154.1</v>
      </c>
      <c r="K288">
        <v>136.9</v>
      </c>
      <c r="L288">
        <f>'All_India_Index_Upto_April23 (1'!Z288+'All_India_Index_Upto_April23 (1'!AA288+'All_India_Index_Upto_April23 (1'!AB288+'All_India_Index_Upto_April23 (1'!AC288+'All_India_Index_Upto_April23 (1'!AD288</f>
        <v>762.8</v>
      </c>
      <c r="M288">
        <f t="shared" si="44"/>
        <v>4228.9000000000005</v>
      </c>
      <c r="N288">
        <f t="shared" si="45"/>
        <v>40.762373193974796</v>
      </c>
      <c r="O288">
        <f t="shared" si="46"/>
        <v>8.8249899501052269</v>
      </c>
      <c r="P288">
        <f t="shared" si="47"/>
        <v>4.5354583934356452</v>
      </c>
      <c r="Q288">
        <f t="shared" si="48"/>
        <v>10.404596940102625</v>
      </c>
      <c r="R288">
        <f t="shared" si="49"/>
        <v>7.1744425264253104</v>
      </c>
      <c r="S288">
        <f t="shared" si="50"/>
        <v>3.3791293244106027</v>
      </c>
      <c r="T288">
        <f t="shared" si="51"/>
        <v>3.6439736101586697</v>
      </c>
      <c r="U288">
        <f t="shared" si="52"/>
        <v>3.2372484570455669</v>
      </c>
      <c r="V288">
        <f t="shared" si="53"/>
        <v>18.037787604341553</v>
      </c>
      <c r="W288">
        <f t="shared" si="54"/>
        <v>100</v>
      </c>
    </row>
    <row r="289" spans="1:23" x14ac:dyDescent="0.3">
      <c r="A289" t="s">
        <v>33</v>
      </c>
      <c r="B289">
        <v>2021</v>
      </c>
      <c r="C289" t="s">
        <v>31</v>
      </c>
      <c r="D289">
        <f>'All_India_Index_Upto_April23 (1'!D289+'All_India_Index_Upto_April23 (1'!G289+'All_India_Index_Upto_April23 (1'!H289+'All_India_Index_Upto_April23 (1'!I289+'All_India_Index_Upto_April23 (1'!J289+'All_India_Index_Upto_April23 (1'!K289+'All_India_Index_Upto_April23 (1'!L289+'All_India_Index_Upto_April23 (1'!M289+'All_India_Index_Upto_April23 (1'!N289+'All_India_Index_Upto_April23 (1'!O289+'All_India_Index_Upto_April23 (1'!P289</f>
        <v>1711.1</v>
      </c>
      <c r="E289">
        <f>'All_India_Index_Upto_April23 (1'!E289+'All_India_Index_Upto_April23 (1'!F289</f>
        <v>365.4</v>
      </c>
      <c r="F289">
        <v>186.5</v>
      </c>
      <c r="G289">
        <f>'All_India_Index_Upto_April23 (1'!R289+'All_India_Index_Upto_April23 (1'!S289+'All_India_Index_Upto_April23 (1'!T289</f>
        <v>455.8</v>
      </c>
      <c r="H289">
        <f>'All_India_Index_Upto_April23 (1'!U289+'All_India_Index_Upto_April23 (1'!W289</f>
        <v>307.7</v>
      </c>
      <c r="I289">
        <v>147.9</v>
      </c>
      <c r="J289">
        <v>159.30000000000001</v>
      </c>
      <c r="K289">
        <v>141.9</v>
      </c>
      <c r="L289">
        <f>'All_India_Index_Upto_April23 (1'!Z289+'All_India_Index_Upto_April23 (1'!AA289+'All_India_Index_Upto_April23 (1'!AB289+'All_India_Index_Upto_April23 (1'!AC289+'All_India_Index_Upto_April23 (1'!AD289</f>
        <v>774.8</v>
      </c>
      <c r="M289">
        <f t="shared" si="44"/>
        <v>4250.4000000000005</v>
      </c>
      <c r="N289">
        <f t="shared" si="45"/>
        <v>40.25738753999623</v>
      </c>
      <c r="O289">
        <f t="shared" si="46"/>
        <v>8.5968379446640313</v>
      </c>
      <c r="P289">
        <f t="shared" si="47"/>
        <v>4.3878223226049302</v>
      </c>
      <c r="Q289">
        <f t="shared" si="48"/>
        <v>10.72369659326181</v>
      </c>
      <c r="R289">
        <f t="shared" si="49"/>
        <v>7.2393186523621296</v>
      </c>
      <c r="S289">
        <f t="shared" si="50"/>
        <v>3.4796725014116312</v>
      </c>
      <c r="T289">
        <f t="shared" si="51"/>
        <v>3.7478825522303785</v>
      </c>
      <c r="U289">
        <f t="shared" si="52"/>
        <v>3.3385093167701858</v>
      </c>
      <c r="V289">
        <f t="shared" si="53"/>
        <v>18.228872576698659</v>
      </c>
      <c r="W289">
        <f t="shared" si="54"/>
        <v>99.999999999999986</v>
      </c>
    </row>
    <row r="290" spans="1:23" x14ac:dyDescent="0.3">
      <c r="A290" t="s">
        <v>30</v>
      </c>
      <c r="B290">
        <v>2021</v>
      </c>
      <c r="C290" t="s">
        <v>34</v>
      </c>
      <c r="D290">
        <f>'All_India_Index_Upto_April23 (1'!D290+'All_India_Index_Upto_April23 (1'!G290+'All_India_Index_Upto_April23 (1'!H290+'All_India_Index_Upto_April23 (1'!I290+'All_India_Index_Upto_April23 (1'!J290+'All_India_Index_Upto_April23 (1'!K290+'All_India_Index_Upto_April23 (1'!L290+'All_India_Index_Upto_April23 (1'!M290+'All_India_Index_Upto_April23 (1'!N290+'All_India_Index_Upto_April23 (1'!O290+'All_India_Index_Upto_April23 (1'!P290</f>
        <v>1673.3</v>
      </c>
      <c r="E290">
        <f>'All_India_Index_Upto_April23 (1'!E290+'All_India_Index_Upto_April23 (1'!F290</f>
        <v>352</v>
      </c>
      <c r="F290">
        <v>186.5</v>
      </c>
      <c r="G290">
        <f>'All_India_Index_Upto_April23 (1'!R290+'All_India_Index_Upto_April23 (1'!S290+'All_India_Index_Upto_April23 (1'!T290</f>
        <v>471.4</v>
      </c>
      <c r="H290">
        <f>'All_India_Index_Upto_April23 (1'!U290+'All_India_Index_Upto_April23 (1'!W290</f>
        <v>154.80000000000001</v>
      </c>
      <c r="I290">
        <v>154.4</v>
      </c>
      <c r="J290">
        <v>164.3</v>
      </c>
      <c r="K290">
        <v>150.19999999999999</v>
      </c>
      <c r="L290">
        <f>'All_India_Index_Upto_April23 (1'!Z290+'All_India_Index_Upto_April23 (1'!AA290+'All_India_Index_Upto_April23 (1'!AB290+'All_India_Index_Upto_April23 (1'!AC290+'All_India_Index_Upto_April23 (1'!AD290</f>
        <v>789.7</v>
      </c>
      <c r="M290">
        <f t="shared" si="44"/>
        <v>4096.6000000000004</v>
      </c>
      <c r="N290">
        <f t="shared" si="45"/>
        <v>40.846067470585353</v>
      </c>
      <c r="O290">
        <f t="shared" si="46"/>
        <v>8.5924913342772058</v>
      </c>
      <c r="P290">
        <f t="shared" si="47"/>
        <v>4.5525557779622128</v>
      </c>
      <c r="Q290">
        <f t="shared" si="48"/>
        <v>11.507103451642823</v>
      </c>
      <c r="R290">
        <f t="shared" si="49"/>
        <v>3.778743348142362</v>
      </c>
      <c r="S290">
        <f t="shared" si="50"/>
        <v>3.7689791534443198</v>
      </c>
      <c r="T290">
        <f t="shared" si="51"/>
        <v>4.0106429722208663</v>
      </c>
      <c r="U290">
        <f t="shared" si="52"/>
        <v>3.6664551091148754</v>
      </c>
      <c r="V290">
        <f t="shared" si="53"/>
        <v>19.276961382609969</v>
      </c>
      <c r="W290">
        <f t="shared" si="54"/>
        <v>99.999999999999986</v>
      </c>
    </row>
    <row r="291" spans="1:23" x14ac:dyDescent="0.3">
      <c r="A291" t="s">
        <v>32</v>
      </c>
      <c r="B291">
        <v>2021</v>
      </c>
      <c r="C291" t="s">
        <v>34</v>
      </c>
      <c r="D291">
        <f>'All_India_Index_Upto_April23 (1'!D291+'All_India_Index_Upto_April23 (1'!G291+'All_India_Index_Upto_April23 (1'!H291+'All_India_Index_Upto_April23 (1'!I291+'All_India_Index_Upto_April23 (1'!J291+'All_India_Index_Upto_April23 (1'!K291+'All_India_Index_Upto_April23 (1'!L291+'All_India_Index_Upto_April23 (1'!M291+'All_India_Index_Upto_April23 (1'!N291+'All_India_Index_Upto_April23 (1'!O291+'All_India_Index_Upto_April23 (1'!P291</f>
        <v>1704.9</v>
      </c>
      <c r="E291">
        <f>'All_India_Index_Upto_April23 (1'!E291+'All_India_Index_Upto_April23 (1'!F291</f>
        <v>361.1</v>
      </c>
      <c r="F291">
        <v>193.3</v>
      </c>
      <c r="G291">
        <f>'All_India_Index_Upto_April23 (1'!R291+'All_India_Index_Upto_April23 (1'!S291+'All_India_Index_Upto_April23 (1'!T291</f>
        <v>444.2</v>
      </c>
      <c r="H291">
        <f>'All_India_Index_Upto_April23 (1'!U291+'All_India_Index_Upto_April23 (1'!W291</f>
        <v>306.3</v>
      </c>
      <c r="I291">
        <v>149.1</v>
      </c>
      <c r="J291">
        <v>156.30000000000001</v>
      </c>
      <c r="K291">
        <v>140.5</v>
      </c>
      <c r="L291">
        <f>'All_India_Index_Upto_April23 (1'!Z291+'All_India_Index_Upto_April23 (1'!AA291+'All_India_Index_Upto_April23 (1'!AB291+'All_India_Index_Upto_April23 (1'!AC291+'All_India_Index_Upto_April23 (1'!AD291</f>
        <v>766.4</v>
      </c>
      <c r="M291">
        <f t="shared" si="44"/>
        <v>4222.1000000000004</v>
      </c>
      <c r="N291">
        <f t="shared" si="45"/>
        <v>40.380379432036193</v>
      </c>
      <c r="O291">
        <f t="shared" si="46"/>
        <v>8.5526159967788526</v>
      </c>
      <c r="P291">
        <f t="shared" si="47"/>
        <v>4.5782904241964895</v>
      </c>
      <c r="Q291">
        <f t="shared" si="48"/>
        <v>10.520830866156651</v>
      </c>
      <c r="R291">
        <f t="shared" si="49"/>
        <v>7.2546836882120269</v>
      </c>
      <c r="S291">
        <f t="shared" si="50"/>
        <v>3.5314180147320053</v>
      </c>
      <c r="T291">
        <f t="shared" si="51"/>
        <v>3.7019492669524645</v>
      </c>
      <c r="U291">
        <f t="shared" si="52"/>
        <v>3.3277279079131237</v>
      </c>
      <c r="V291">
        <f t="shared" si="53"/>
        <v>18.152104403022189</v>
      </c>
      <c r="W291">
        <f t="shared" si="54"/>
        <v>100.00000000000001</v>
      </c>
    </row>
    <row r="292" spans="1:23" x14ac:dyDescent="0.3">
      <c r="A292" t="s">
        <v>33</v>
      </c>
      <c r="B292">
        <v>2021</v>
      </c>
      <c r="C292" t="s">
        <v>34</v>
      </c>
      <c r="D292">
        <f>'All_India_Index_Upto_April23 (1'!D292+'All_India_Index_Upto_April23 (1'!G292+'All_India_Index_Upto_April23 (1'!H292+'All_India_Index_Upto_April23 (1'!I292+'All_India_Index_Upto_April23 (1'!J292+'All_India_Index_Upto_April23 (1'!K292+'All_India_Index_Upto_April23 (1'!L292+'All_India_Index_Upto_April23 (1'!M292+'All_India_Index_Upto_April23 (1'!N292+'All_India_Index_Upto_April23 (1'!O292+'All_India_Index_Upto_April23 (1'!P292</f>
        <v>1684.1000000000001</v>
      </c>
      <c r="E292">
        <f>'All_India_Index_Upto_April23 (1'!E292+'All_India_Index_Upto_April23 (1'!F292</f>
        <v>355.2</v>
      </c>
      <c r="F292">
        <v>188.3</v>
      </c>
      <c r="G292">
        <f>'All_India_Index_Upto_April23 (1'!R292+'All_India_Index_Upto_April23 (1'!S292+'All_India_Index_Upto_April23 (1'!T292</f>
        <v>460.40000000000003</v>
      </c>
      <c r="H292">
        <f>'All_India_Index_Upto_April23 (1'!U292+'All_India_Index_Upto_April23 (1'!W292</f>
        <v>310.70000000000005</v>
      </c>
      <c r="I292">
        <v>152.4</v>
      </c>
      <c r="J292">
        <v>161.30000000000001</v>
      </c>
      <c r="K292">
        <v>145.1</v>
      </c>
      <c r="L292">
        <f>'All_India_Index_Upto_April23 (1'!Z292+'All_India_Index_Upto_April23 (1'!AA292+'All_India_Index_Upto_April23 (1'!AB292+'All_India_Index_Upto_April23 (1'!AC292+'All_India_Index_Upto_April23 (1'!AD292</f>
        <v>776.80000000000007</v>
      </c>
      <c r="M292">
        <f t="shared" si="44"/>
        <v>4234.3000000000011</v>
      </c>
      <c r="N292">
        <f t="shared" si="45"/>
        <v>39.772807784049306</v>
      </c>
      <c r="O292">
        <f t="shared" si="46"/>
        <v>8.3886356658715702</v>
      </c>
      <c r="P292">
        <f t="shared" si="47"/>
        <v>4.4470160357083808</v>
      </c>
      <c r="Q292">
        <f t="shared" si="48"/>
        <v>10.873107715561012</v>
      </c>
      <c r="R292">
        <f t="shared" si="49"/>
        <v>7.3376945421911515</v>
      </c>
      <c r="S292">
        <f t="shared" si="50"/>
        <v>3.5991781404246268</v>
      </c>
      <c r="T292">
        <f t="shared" si="51"/>
        <v>3.8093663651607108</v>
      </c>
      <c r="U292">
        <f t="shared" si="52"/>
        <v>3.4267765628321083</v>
      </c>
      <c r="V292">
        <f t="shared" si="53"/>
        <v>18.345417188201115</v>
      </c>
      <c r="W292">
        <f t="shared" si="54"/>
        <v>99.999999999999972</v>
      </c>
    </row>
    <row r="293" spans="1:23" x14ac:dyDescent="0.3">
      <c r="A293" t="s">
        <v>30</v>
      </c>
      <c r="B293">
        <v>2021</v>
      </c>
      <c r="C293" t="s">
        <v>35</v>
      </c>
      <c r="D293">
        <f>'All_India_Index_Upto_April23 (1'!D293+'All_India_Index_Upto_April23 (1'!G293+'All_India_Index_Upto_April23 (1'!H293+'All_India_Index_Upto_April23 (1'!I293+'All_India_Index_Upto_April23 (1'!J293+'All_India_Index_Upto_April23 (1'!K293+'All_India_Index_Upto_April23 (1'!L293+'All_India_Index_Upto_April23 (1'!M293+'All_India_Index_Upto_April23 (1'!N293+'All_India_Index_Upto_April23 (1'!O293+'All_India_Index_Upto_April23 (1'!P293</f>
        <v>1673.1000000000001</v>
      </c>
      <c r="E293">
        <f>'All_India_Index_Upto_April23 (1'!E293+'All_India_Index_Upto_April23 (1'!F293</f>
        <v>352.6</v>
      </c>
      <c r="F293">
        <v>186.1</v>
      </c>
      <c r="G293">
        <f>'All_India_Index_Upto_April23 (1'!R293+'All_India_Index_Upto_April23 (1'!S293+'All_India_Index_Upto_April23 (1'!T293</f>
        <v>472.9</v>
      </c>
      <c r="H293" t="e">
        <f>'All_India_Index_Upto_April23 (1'!U293+'All_India_Index_Upto_April23 (1'!W293</f>
        <v>#VALUE!</v>
      </c>
      <c r="I293">
        <v>156</v>
      </c>
      <c r="J293">
        <v>164.6</v>
      </c>
      <c r="K293">
        <v>151.30000000000001</v>
      </c>
      <c r="L293">
        <f>'All_India_Index_Upto_April23 (1'!Z293+'All_India_Index_Upto_April23 (1'!AA293+'All_India_Index_Upto_April23 (1'!AB293+'All_India_Index_Upto_April23 (1'!AC293+'All_India_Index_Upto_April23 (1'!AD293</f>
        <v>788.7</v>
      </c>
      <c r="M293" t="e">
        <f t="shared" si="44"/>
        <v>#VALUE!</v>
      </c>
      <c r="N293" t="e">
        <f t="shared" si="45"/>
        <v>#VALUE!</v>
      </c>
      <c r="O293" t="e">
        <f t="shared" si="46"/>
        <v>#VALUE!</v>
      </c>
      <c r="P293" t="e">
        <f t="shared" si="47"/>
        <v>#VALUE!</v>
      </c>
      <c r="Q293" t="e">
        <f t="shared" si="48"/>
        <v>#VALUE!</v>
      </c>
      <c r="R293" t="e">
        <f t="shared" si="49"/>
        <v>#VALUE!</v>
      </c>
      <c r="S293" t="e">
        <f t="shared" si="50"/>
        <v>#VALUE!</v>
      </c>
      <c r="T293" t="e">
        <f t="shared" si="51"/>
        <v>#VALUE!</v>
      </c>
      <c r="U293" t="e">
        <f t="shared" si="52"/>
        <v>#VALUE!</v>
      </c>
      <c r="V293" t="e">
        <f t="shared" si="53"/>
        <v>#VALUE!</v>
      </c>
      <c r="W293" t="e">
        <f t="shared" si="54"/>
        <v>#VALUE!</v>
      </c>
    </row>
    <row r="294" spans="1:23" x14ac:dyDescent="0.3">
      <c r="A294" t="s">
        <v>32</v>
      </c>
      <c r="B294">
        <v>2021</v>
      </c>
      <c r="C294" t="s">
        <v>35</v>
      </c>
      <c r="D294">
        <f>'All_India_Index_Upto_April23 (1'!D294+'All_India_Index_Upto_April23 (1'!G294+'All_India_Index_Upto_April23 (1'!H294+'All_India_Index_Upto_April23 (1'!I294+'All_India_Index_Upto_April23 (1'!J294+'All_India_Index_Upto_April23 (1'!K294+'All_India_Index_Upto_April23 (1'!L294+'All_India_Index_Upto_April23 (1'!M294+'All_India_Index_Upto_April23 (1'!N294+'All_India_Index_Upto_April23 (1'!O294+'All_India_Index_Upto_April23 (1'!P294</f>
        <v>1702.3</v>
      </c>
      <c r="E294">
        <f>'All_India_Index_Upto_April23 (1'!E294+'All_India_Index_Upto_April23 (1'!F294</f>
        <v>362.2</v>
      </c>
      <c r="F294">
        <v>193.5</v>
      </c>
      <c r="G294">
        <f>'All_India_Index_Upto_April23 (1'!R294+'All_India_Index_Upto_April23 (1'!S294+'All_India_Index_Upto_April23 (1'!T294</f>
        <v>446.4</v>
      </c>
      <c r="H294">
        <f>'All_India_Index_Upto_April23 (1'!U294+'All_India_Index_Upto_April23 (1'!W294</f>
        <v>307.10000000000002</v>
      </c>
      <c r="I294">
        <v>154.80000000000001</v>
      </c>
      <c r="J294">
        <v>156.9</v>
      </c>
      <c r="K294">
        <v>141.69999999999999</v>
      </c>
      <c r="L294">
        <f>'All_India_Index_Upto_April23 (1'!Z294+'All_India_Index_Upto_April23 (1'!AA294+'All_India_Index_Upto_April23 (1'!AB294+'All_India_Index_Upto_April23 (1'!AC294+'All_India_Index_Upto_April23 (1'!AD294</f>
        <v>768</v>
      </c>
      <c r="M294">
        <f t="shared" si="44"/>
        <v>4232.8999999999996</v>
      </c>
      <c r="N294">
        <f t="shared" si="45"/>
        <v>40.215927614637721</v>
      </c>
      <c r="O294">
        <f t="shared" si="46"/>
        <v>8.5567814028207625</v>
      </c>
      <c r="P294">
        <f t="shared" si="47"/>
        <v>4.5713340735665859</v>
      </c>
      <c r="Q294">
        <f t="shared" si="48"/>
        <v>10.54596139762338</v>
      </c>
      <c r="R294">
        <f t="shared" si="49"/>
        <v>7.2550733539653676</v>
      </c>
      <c r="S294">
        <f t="shared" si="50"/>
        <v>3.6570672588532691</v>
      </c>
      <c r="T294">
        <f t="shared" si="51"/>
        <v>3.7066786363958522</v>
      </c>
      <c r="U294">
        <f t="shared" si="52"/>
        <v>3.347586760849536</v>
      </c>
      <c r="V294">
        <f t="shared" si="53"/>
        <v>18.143589501287536</v>
      </c>
      <c r="W294">
        <f t="shared" si="54"/>
        <v>100.00000000000001</v>
      </c>
    </row>
    <row r="295" spans="1:23" x14ac:dyDescent="0.3">
      <c r="A295" t="s">
        <v>33</v>
      </c>
      <c r="B295">
        <v>2021</v>
      </c>
      <c r="C295" t="s">
        <v>35</v>
      </c>
      <c r="D295">
        <f>'All_India_Index_Upto_April23 (1'!D295+'All_India_Index_Upto_April23 (1'!G295+'All_India_Index_Upto_April23 (1'!H295+'All_India_Index_Upto_April23 (1'!I295+'All_India_Index_Upto_April23 (1'!J295+'All_India_Index_Upto_April23 (1'!K295+'All_India_Index_Upto_April23 (1'!L295+'All_India_Index_Upto_April23 (1'!M295+'All_India_Index_Upto_April23 (1'!N295+'All_India_Index_Upto_April23 (1'!O295+'All_India_Index_Upto_April23 (1'!P295</f>
        <v>1683.3999999999999</v>
      </c>
      <c r="E295">
        <f>'All_India_Index_Upto_April23 (1'!E295+'All_India_Index_Upto_April23 (1'!F295</f>
        <v>356</v>
      </c>
      <c r="F295">
        <v>188.1</v>
      </c>
      <c r="G295">
        <f>'All_India_Index_Upto_April23 (1'!R295+'All_India_Index_Upto_April23 (1'!S295+'All_India_Index_Upto_April23 (1'!T295</f>
        <v>462.1</v>
      </c>
      <c r="H295">
        <f>'All_India_Index_Upto_April23 (1'!U295+'All_India_Index_Upto_April23 (1'!W295</f>
        <v>311.10000000000002</v>
      </c>
      <c r="I295">
        <v>155.5</v>
      </c>
      <c r="J295">
        <v>161.69999999999999</v>
      </c>
      <c r="K295">
        <v>146.19999999999999</v>
      </c>
      <c r="L295">
        <f>'All_India_Index_Upto_April23 (1'!Z295+'All_India_Index_Upto_April23 (1'!AA295+'All_India_Index_Upto_April23 (1'!AB295+'All_India_Index_Upto_April23 (1'!AC295+'All_India_Index_Upto_April23 (1'!AD295</f>
        <v>777.2</v>
      </c>
      <c r="M295">
        <f t="shared" si="44"/>
        <v>4241.2999999999993</v>
      </c>
      <c r="N295">
        <f t="shared" si="45"/>
        <v>39.69066088227666</v>
      </c>
      <c r="O295">
        <f t="shared" si="46"/>
        <v>8.3936528894442759</v>
      </c>
      <c r="P295">
        <f t="shared" si="47"/>
        <v>4.4349609789451359</v>
      </c>
      <c r="Q295">
        <f t="shared" si="48"/>
        <v>10.895244382618539</v>
      </c>
      <c r="R295">
        <f t="shared" si="49"/>
        <v>7.3350152076014448</v>
      </c>
      <c r="S295">
        <f t="shared" si="50"/>
        <v>3.6663287199679351</v>
      </c>
      <c r="T295">
        <f t="shared" si="51"/>
        <v>3.8125103152335376</v>
      </c>
      <c r="U295">
        <f t="shared" si="52"/>
        <v>3.4470563270695309</v>
      </c>
      <c r="V295">
        <f t="shared" si="53"/>
        <v>18.324570296842953</v>
      </c>
      <c r="W295">
        <f t="shared" si="54"/>
        <v>100.00000000000001</v>
      </c>
    </row>
    <row r="296" spans="1:23" x14ac:dyDescent="0.3">
      <c r="A296" t="s">
        <v>30</v>
      </c>
      <c r="B296">
        <v>2021</v>
      </c>
      <c r="C296" t="s">
        <v>36</v>
      </c>
      <c r="D296">
        <f>'All_India_Index_Upto_April23 (1'!D296+'All_India_Index_Upto_April23 (1'!G296+'All_India_Index_Upto_April23 (1'!H296+'All_India_Index_Upto_April23 (1'!I296+'All_India_Index_Upto_April23 (1'!J296+'All_India_Index_Upto_April23 (1'!K296+'All_India_Index_Upto_April23 (1'!L296+'All_India_Index_Upto_April23 (1'!M296+'All_India_Index_Upto_April23 (1'!N296+'All_India_Index_Upto_April23 (1'!O296+'All_India_Index_Upto_April23 (1'!P296</f>
        <v>1690.6000000000001</v>
      </c>
      <c r="E296">
        <f>'All_India_Index_Upto_April23 (1'!E296+'All_India_Index_Upto_April23 (1'!F296</f>
        <v>358.9</v>
      </c>
      <c r="F296">
        <v>186.8</v>
      </c>
      <c r="G296">
        <f>'All_India_Index_Upto_April23 (1'!R296+'All_India_Index_Upto_April23 (1'!S296+'All_India_Index_Upto_April23 (1'!T296</f>
        <v>475.69999999999993</v>
      </c>
      <c r="H296" t="e">
        <f>'All_India_Index_Upto_April23 (1'!U296+'All_India_Index_Upto_April23 (1'!W296</f>
        <v>#VALUE!</v>
      </c>
      <c r="I296">
        <v>156</v>
      </c>
      <c r="J296">
        <v>165.3</v>
      </c>
      <c r="K296">
        <v>151.69999999999999</v>
      </c>
      <c r="L296">
        <f>'All_India_Index_Upto_April23 (1'!Z296+'All_India_Index_Upto_April23 (1'!AA296+'All_India_Index_Upto_April23 (1'!AB296+'All_India_Index_Upto_April23 (1'!AC296+'All_India_Index_Upto_April23 (1'!AD296</f>
        <v>792.9</v>
      </c>
      <c r="M296" t="e">
        <f t="shared" si="44"/>
        <v>#VALUE!</v>
      </c>
      <c r="N296" t="e">
        <f t="shared" si="45"/>
        <v>#VALUE!</v>
      </c>
      <c r="O296" t="e">
        <f t="shared" si="46"/>
        <v>#VALUE!</v>
      </c>
      <c r="P296" t="e">
        <f t="shared" si="47"/>
        <v>#VALUE!</v>
      </c>
      <c r="Q296" t="e">
        <f t="shared" si="48"/>
        <v>#VALUE!</v>
      </c>
      <c r="R296" t="e">
        <f t="shared" si="49"/>
        <v>#VALUE!</v>
      </c>
      <c r="S296" t="e">
        <f t="shared" si="50"/>
        <v>#VALUE!</v>
      </c>
      <c r="T296" t="e">
        <f t="shared" si="51"/>
        <v>#VALUE!</v>
      </c>
      <c r="U296" t="e">
        <f t="shared" si="52"/>
        <v>#VALUE!</v>
      </c>
      <c r="V296" t="e">
        <f t="shared" si="53"/>
        <v>#VALUE!</v>
      </c>
      <c r="W296" t="e">
        <f t="shared" si="54"/>
        <v>#VALUE!</v>
      </c>
    </row>
    <row r="297" spans="1:23" x14ac:dyDescent="0.3">
      <c r="A297" t="s">
        <v>32</v>
      </c>
      <c r="B297">
        <v>2021</v>
      </c>
      <c r="C297" t="s">
        <v>36</v>
      </c>
      <c r="D297">
        <f>'All_India_Index_Upto_April23 (1'!D297+'All_India_Index_Upto_April23 (1'!G297+'All_India_Index_Upto_April23 (1'!H297+'All_India_Index_Upto_April23 (1'!I297+'All_India_Index_Upto_April23 (1'!J297+'All_India_Index_Upto_April23 (1'!K297+'All_India_Index_Upto_April23 (1'!L297+'All_India_Index_Upto_April23 (1'!M297+'All_India_Index_Upto_April23 (1'!N297+'All_India_Index_Upto_April23 (1'!O297+'All_India_Index_Upto_April23 (1'!P297</f>
        <v>1720.7</v>
      </c>
      <c r="E297">
        <f>'All_India_Index_Upto_April23 (1'!E297+'All_India_Index_Upto_April23 (1'!F297</f>
        <v>368.9</v>
      </c>
      <c r="F297">
        <v>194.4</v>
      </c>
      <c r="G297">
        <f>'All_India_Index_Upto_April23 (1'!R297+'All_India_Index_Upto_April23 (1'!S297+'All_India_Index_Upto_April23 (1'!T297</f>
        <v>448.6</v>
      </c>
      <c r="H297">
        <f>'All_India_Index_Upto_April23 (1'!U297+'All_India_Index_Upto_April23 (1'!W297</f>
        <v>309</v>
      </c>
      <c r="I297">
        <v>154.9</v>
      </c>
      <c r="J297">
        <v>157.5</v>
      </c>
      <c r="K297">
        <v>142.1</v>
      </c>
      <c r="L297">
        <f>'All_India_Index_Upto_April23 (1'!Z297+'All_India_Index_Upto_April23 (1'!AA297+'All_India_Index_Upto_April23 (1'!AB297+'All_India_Index_Upto_April23 (1'!AC297+'All_India_Index_Upto_April23 (1'!AD297</f>
        <v>771.8</v>
      </c>
      <c r="M297">
        <f t="shared" si="44"/>
        <v>4267.8999999999996</v>
      </c>
      <c r="N297">
        <f t="shared" si="45"/>
        <v>40.317252044330942</v>
      </c>
      <c r="O297">
        <f t="shared" si="46"/>
        <v>8.6435952107593899</v>
      </c>
      <c r="P297">
        <f t="shared" si="47"/>
        <v>4.5549333395815284</v>
      </c>
      <c r="Q297">
        <f t="shared" si="48"/>
        <v>10.511024157079596</v>
      </c>
      <c r="R297">
        <f t="shared" si="49"/>
        <v>7.240094660137304</v>
      </c>
      <c r="S297">
        <f t="shared" si="50"/>
        <v>3.6294196208908365</v>
      </c>
      <c r="T297">
        <f t="shared" si="51"/>
        <v>3.6903395112350337</v>
      </c>
      <c r="U297">
        <f t="shared" si="52"/>
        <v>3.3295063145809412</v>
      </c>
      <c r="V297">
        <f t="shared" si="53"/>
        <v>18.083835141404439</v>
      </c>
      <c r="W297">
        <f t="shared" si="54"/>
        <v>100.00000000000001</v>
      </c>
    </row>
    <row r="298" spans="1:23" x14ac:dyDescent="0.3">
      <c r="A298" t="s">
        <v>33</v>
      </c>
      <c r="B298">
        <v>2021</v>
      </c>
      <c r="C298" t="s">
        <v>36</v>
      </c>
      <c r="D298">
        <f>'All_India_Index_Upto_April23 (1'!D298+'All_India_Index_Upto_April23 (1'!G298+'All_India_Index_Upto_April23 (1'!H298+'All_India_Index_Upto_April23 (1'!I298+'All_India_Index_Upto_April23 (1'!J298+'All_India_Index_Upto_April23 (1'!K298+'All_India_Index_Upto_April23 (1'!L298+'All_India_Index_Upto_April23 (1'!M298+'All_India_Index_Upto_April23 (1'!N298+'All_India_Index_Upto_April23 (1'!O298+'All_India_Index_Upto_April23 (1'!P298</f>
        <v>1701.5</v>
      </c>
      <c r="E298">
        <f>'All_India_Index_Upto_April23 (1'!E298+'All_India_Index_Upto_April23 (1'!F298</f>
        <v>362.6</v>
      </c>
      <c r="F298">
        <v>188.8</v>
      </c>
      <c r="G298">
        <f>'All_India_Index_Upto_April23 (1'!R298+'All_India_Index_Upto_April23 (1'!S298+'All_India_Index_Upto_April23 (1'!T298</f>
        <v>464.6</v>
      </c>
      <c r="H298">
        <f>'All_India_Index_Upto_April23 (1'!U298+'All_India_Index_Upto_April23 (1'!W298</f>
        <v>313.20000000000005</v>
      </c>
      <c r="I298">
        <v>155.6</v>
      </c>
      <c r="J298">
        <v>162.30000000000001</v>
      </c>
      <c r="K298">
        <v>146.6</v>
      </c>
      <c r="L298">
        <f>'All_India_Index_Upto_April23 (1'!Z298+'All_India_Index_Upto_April23 (1'!AA298+'All_India_Index_Upto_April23 (1'!AB298+'All_India_Index_Upto_April23 (1'!AC298+'All_India_Index_Upto_April23 (1'!AD298</f>
        <v>781.09999999999991</v>
      </c>
      <c r="M298">
        <f t="shared" si="44"/>
        <v>4276.2999999999993</v>
      </c>
      <c r="N298">
        <f t="shared" si="45"/>
        <v>39.78906999041228</v>
      </c>
      <c r="O298">
        <f t="shared" si="46"/>
        <v>8.4792928466197424</v>
      </c>
      <c r="P298">
        <f t="shared" si="47"/>
        <v>4.4150316862708427</v>
      </c>
      <c r="Q298">
        <f t="shared" si="48"/>
        <v>10.864532422888947</v>
      </c>
      <c r="R298">
        <f t="shared" si="49"/>
        <v>7.3240885812501491</v>
      </c>
      <c r="S298">
        <f t="shared" si="50"/>
        <v>3.6386595888969442</v>
      </c>
      <c r="T298">
        <f t="shared" si="51"/>
        <v>3.795337090475412</v>
      </c>
      <c r="U298">
        <f t="shared" si="52"/>
        <v>3.4281972733437791</v>
      </c>
      <c r="V298">
        <f t="shared" si="53"/>
        <v>18.265790519841921</v>
      </c>
      <c r="W298">
        <f t="shared" si="54"/>
        <v>100.00000000000003</v>
      </c>
    </row>
    <row r="299" spans="1:23" x14ac:dyDescent="0.3">
      <c r="A299" t="s">
        <v>30</v>
      </c>
      <c r="B299">
        <v>2021</v>
      </c>
      <c r="C299" t="s">
        <v>37</v>
      </c>
      <c r="D299">
        <f>'All_India_Index_Upto_April23 (1'!D299+'All_India_Index_Upto_April23 (1'!G299+'All_India_Index_Upto_April23 (1'!H299+'All_India_Index_Upto_April23 (1'!I299+'All_India_Index_Upto_April23 (1'!J299+'All_India_Index_Upto_April23 (1'!K299+'All_India_Index_Upto_April23 (1'!L299+'All_India_Index_Upto_April23 (1'!M299+'All_India_Index_Upto_April23 (1'!N299+'All_India_Index_Upto_April23 (1'!O299+'All_India_Index_Upto_April23 (1'!P299</f>
        <v>1728.1999999999998</v>
      </c>
      <c r="E299">
        <f>'All_India_Index_Upto_April23 (1'!E299+'All_India_Index_Upto_April23 (1'!F299</f>
        <v>367.1</v>
      </c>
      <c r="F299">
        <v>189.6</v>
      </c>
      <c r="G299">
        <f>'All_India_Index_Upto_April23 (1'!R299+'All_India_Index_Upto_April23 (1'!S299+'All_India_Index_Upto_April23 (1'!T299</f>
        <v>490.4</v>
      </c>
      <c r="H299">
        <f>'All_India_Index_Upto_April23 (1'!U299+'All_India_Index_Upto_April23 (1'!W299</f>
        <v>158.80000000000001</v>
      </c>
      <c r="I299">
        <v>161.69999999999999</v>
      </c>
      <c r="J299">
        <v>169.1</v>
      </c>
      <c r="K299">
        <v>153.19999999999999</v>
      </c>
      <c r="L299">
        <f>'All_India_Index_Upto_April23 (1'!Z299+'All_India_Index_Upto_April23 (1'!AA299+'All_India_Index_Upto_April23 (1'!AB299+'All_India_Index_Upto_April23 (1'!AC299+'All_India_Index_Upto_April23 (1'!AD299</f>
        <v>809.1</v>
      </c>
      <c r="M299">
        <f t="shared" si="44"/>
        <v>4227.2</v>
      </c>
      <c r="N299">
        <f t="shared" si="45"/>
        <v>40.882853898561692</v>
      </c>
      <c r="O299">
        <f t="shared" si="46"/>
        <v>8.6842354277062839</v>
      </c>
      <c r="P299">
        <f t="shared" si="47"/>
        <v>4.4852384557153675</v>
      </c>
      <c r="Q299">
        <f t="shared" si="48"/>
        <v>11.60105980317941</v>
      </c>
      <c r="R299">
        <f t="shared" si="49"/>
        <v>3.7566237698713105</v>
      </c>
      <c r="S299">
        <f t="shared" si="50"/>
        <v>3.8252271006813019</v>
      </c>
      <c r="T299">
        <f t="shared" si="51"/>
        <v>4.0002838758516273</v>
      </c>
      <c r="U299">
        <f t="shared" si="52"/>
        <v>3.6241483724451169</v>
      </c>
      <c r="V299">
        <f t="shared" si="53"/>
        <v>19.14032929598789</v>
      </c>
      <c r="W299">
        <f t="shared" si="54"/>
        <v>100</v>
      </c>
    </row>
    <row r="300" spans="1:23" x14ac:dyDescent="0.3">
      <c r="A300" t="s">
        <v>32</v>
      </c>
      <c r="B300">
        <v>2021</v>
      </c>
      <c r="C300" t="s">
        <v>37</v>
      </c>
      <c r="D300">
        <f>'All_India_Index_Upto_April23 (1'!D300+'All_India_Index_Upto_April23 (1'!G300+'All_India_Index_Upto_April23 (1'!H300+'All_India_Index_Upto_April23 (1'!I300+'All_India_Index_Upto_April23 (1'!J300+'All_India_Index_Upto_April23 (1'!K300+'All_India_Index_Upto_April23 (1'!L300+'All_India_Index_Upto_April23 (1'!M300+'All_India_Index_Upto_April23 (1'!N300+'All_India_Index_Upto_April23 (1'!O300+'All_India_Index_Upto_April23 (1'!P300</f>
        <v>1747.4</v>
      </c>
      <c r="E300">
        <f>'All_India_Index_Upto_April23 (1'!E300+'All_India_Index_Upto_April23 (1'!F300</f>
        <v>377.3</v>
      </c>
      <c r="F300">
        <v>198.2</v>
      </c>
      <c r="G300">
        <f>'All_India_Index_Upto_April23 (1'!R300+'All_India_Index_Upto_April23 (1'!S300+'All_India_Index_Upto_April23 (1'!T300</f>
        <v>450.79999999999995</v>
      </c>
      <c r="H300">
        <f>'All_India_Index_Upto_April23 (1'!U300+'All_India_Index_Upto_April23 (1'!W300</f>
        <v>311.7</v>
      </c>
      <c r="I300">
        <v>155.5</v>
      </c>
      <c r="J300">
        <v>160.4</v>
      </c>
      <c r="K300">
        <v>145</v>
      </c>
      <c r="L300">
        <f>'All_India_Index_Upto_April23 (1'!Z300+'All_India_Index_Upto_April23 (1'!AA300+'All_India_Index_Upto_April23 (1'!AB300+'All_India_Index_Upto_April23 (1'!AC300+'All_India_Index_Upto_April23 (1'!AD300</f>
        <v>778.5</v>
      </c>
      <c r="M300">
        <f t="shared" si="44"/>
        <v>4324.7999999999993</v>
      </c>
      <c r="N300">
        <f t="shared" si="45"/>
        <v>40.404180540140594</v>
      </c>
      <c r="O300">
        <f t="shared" si="46"/>
        <v>8.7241028486866465</v>
      </c>
      <c r="P300">
        <f t="shared" si="47"/>
        <v>4.5828708842027384</v>
      </c>
      <c r="Q300">
        <f t="shared" si="48"/>
        <v>10.423603403625602</v>
      </c>
      <c r="R300">
        <f t="shared" si="49"/>
        <v>7.2072697003329651</v>
      </c>
      <c r="S300">
        <f t="shared" si="50"/>
        <v>3.5955419903810584</v>
      </c>
      <c r="T300">
        <f t="shared" si="51"/>
        <v>3.7088420273769893</v>
      </c>
      <c r="U300">
        <f t="shared" si="52"/>
        <v>3.3527561968183504</v>
      </c>
      <c r="V300">
        <f t="shared" si="53"/>
        <v>18.000832408435073</v>
      </c>
      <c r="W300">
        <f t="shared" si="54"/>
        <v>100.00000000000001</v>
      </c>
    </row>
    <row r="301" spans="1:23" x14ac:dyDescent="0.3">
      <c r="A301" t="s">
        <v>33</v>
      </c>
      <c r="B301">
        <v>2021</v>
      </c>
      <c r="C301" t="s">
        <v>37</v>
      </c>
      <c r="D301">
        <f>'All_India_Index_Upto_April23 (1'!D301+'All_India_Index_Upto_April23 (1'!G301+'All_India_Index_Upto_April23 (1'!H301+'All_India_Index_Upto_April23 (1'!I301+'All_India_Index_Upto_April23 (1'!J301+'All_India_Index_Upto_April23 (1'!K301+'All_India_Index_Upto_April23 (1'!L301+'All_India_Index_Upto_April23 (1'!M301+'All_India_Index_Upto_April23 (1'!N301+'All_India_Index_Upto_April23 (1'!O301+'All_India_Index_Upto_April23 (1'!P301</f>
        <v>1734.9</v>
      </c>
      <c r="E301">
        <f>'All_India_Index_Upto_April23 (1'!E301+'All_India_Index_Upto_April23 (1'!F301</f>
        <v>370.8</v>
      </c>
      <c r="F301">
        <v>191.9</v>
      </c>
      <c r="G301">
        <f>'All_India_Index_Upto_April23 (1'!R301+'All_India_Index_Upto_April23 (1'!S301+'All_India_Index_Upto_April23 (1'!T301</f>
        <v>474.29999999999995</v>
      </c>
      <c r="H301">
        <f>'All_India_Index_Upto_April23 (1'!U301+'All_India_Index_Upto_April23 (1'!W301</f>
        <v>316.29999999999995</v>
      </c>
      <c r="I301">
        <v>159.4</v>
      </c>
      <c r="J301">
        <v>165.8</v>
      </c>
      <c r="K301">
        <v>148.9</v>
      </c>
      <c r="L301">
        <f>'All_India_Index_Upto_April23 (1'!Z301+'All_India_Index_Upto_April23 (1'!AA301+'All_India_Index_Upto_April23 (1'!AB301+'All_India_Index_Upto_April23 (1'!AC301+'All_India_Index_Upto_April23 (1'!AD301</f>
        <v>792.80000000000007</v>
      </c>
      <c r="M301">
        <f t="shared" si="44"/>
        <v>4355.1000000000013</v>
      </c>
      <c r="N301">
        <f t="shared" si="45"/>
        <v>39.836054281187565</v>
      </c>
      <c r="O301">
        <f t="shared" si="46"/>
        <v>8.5141558173176257</v>
      </c>
      <c r="P301">
        <f t="shared" si="47"/>
        <v>4.4063282128998171</v>
      </c>
      <c r="Q301">
        <f t="shared" si="48"/>
        <v>10.890679892539778</v>
      </c>
      <c r="R301">
        <f t="shared" si="49"/>
        <v>7.2627494202199685</v>
      </c>
      <c r="S301">
        <f t="shared" si="50"/>
        <v>3.6600766916947935</v>
      </c>
      <c r="T301">
        <f t="shared" si="51"/>
        <v>3.8070308374090138</v>
      </c>
      <c r="U301">
        <f t="shared" si="52"/>
        <v>3.4189800463824014</v>
      </c>
      <c r="V301">
        <f t="shared" si="53"/>
        <v>18.20394480034901</v>
      </c>
      <c r="W301">
        <f t="shared" si="54"/>
        <v>99.999999999999972</v>
      </c>
    </row>
    <row r="302" spans="1:23" x14ac:dyDescent="0.3">
      <c r="A302" t="s">
        <v>30</v>
      </c>
      <c r="B302">
        <v>2021</v>
      </c>
      <c r="C302" t="s">
        <v>38</v>
      </c>
      <c r="D302">
        <f>'All_India_Index_Upto_April23 (1'!D302+'All_India_Index_Upto_April23 (1'!G302+'All_India_Index_Upto_April23 (1'!H302+'All_India_Index_Upto_April23 (1'!I302+'All_India_Index_Upto_April23 (1'!J302+'All_India_Index_Upto_April23 (1'!K302+'All_India_Index_Upto_April23 (1'!L302+'All_India_Index_Upto_April23 (1'!M302+'All_India_Index_Upto_April23 (1'!N302+'All_India_Index_Upto_April23 (1'!O302+'All_India_Index_Upto_April23 (1'!P302</f>
        <v>1743.2</v>
      </c>
      <c r="E302">
        <f>'All_India_Index_Upto_April23 (1'!E302+'All_India_Index_Upto_April23 (1'!F302</f>
        <v>379.4</v>
      </c>
      <c r="F302">
        <v>189.1</v>
      </c>
      <c r="G302">
        <f>'All_India_Index_Upto_April23 (1'!R302+'All_India_Index_Upto_April23 (1'!S302+'All_India_Index_Upto_April23 (1'!T302</f>
        <v>489.80000000000007</v>
      </c>
      <c r="H302">
        <f>'All_India_Index_Upto_April23 (1'!U302+'All_India_Index_Upto_April23 (1'!W302</f>
        <v>159.19999999999999</v>
      </c>
      <c r="I302">
        <v>162.1</v>
      </c>
      <c r="J302">
        <v>169.7</v>
      </c>
      <c r="K302">
        <v>154.19999999999999</v>
      </c>
      <c r="L302">
        <f>'All_India_Index_Upto_April23 (1'!Z302+'All_India_Index_Upto_April23 (1'!AA302+'All_India_Index_Upto_April23 (1'!AB302+'All_India_Index_Upto_April23 (1'!AC302+'All_India_Index_Upto_April23 (1'!AD302</f>
        <v>810.2</v>
      </c>
      <c r="M302">
        <f t="shared" si="44"/>
        <v>4256.8999999999996</v>
      </c>
      <c r="N302">
        <f t="shared" si="45"/>
        <v>40.949987079799861</v>
      </c>
      <c r="O302">
        <f t="shared" si="46"/>
        <v>8.912588973196458</v>
      </c>
      <c r="P302">
        <f t="shared" si="47"/>
        <v>4.4421997228029788</v>
      </c>
      <c r="Q302">
        <f t="shared" si="48"/>
        <v>11.506025511522472</v>
      </c>
      <c r="R302">
        <f t="shared" si="49"/>
        <v>3.7398106603396841</v>
      </c>
      <c r="S302">
        <f t="shared" si="50"/>
        <v>3.8079353520167261</v>
      </c>
      <c r="T302">
        <f t="shared" si="51"/>
        <v>3.9864690267565601</v>
      </c>
      <c r="U302">
        <f t="shared" si="52"/>
        <v>3.6223542953792669</v>
      </c>
      <c r="V302">
        <f t="shared" si="53"/>
        <v>19.032629378186005</v>
      </c>
      <c r="W302">
        <f t="shared" si="54"/>
        <v>100.00000000000001</v>
      </c>
    </row>
    <row r="303" spans="1:23" x14ac:dyDescent="0.3">
      <c r="A303" t="s">
        <v>32</v>
      </c>
      <c r="B303">
        <v>2021</v>
      </c>
      <c r="C303" t="s">
        <v>38</v>
      </c>
      <c r="D303">
        <f>'All_India_Index_Upto_April23 (1'!D303+'All_India_Index_Upto_April23 (1'!G303+'All_India_Index_Upto_April23 (1'!H303+'All_India_Index_Upto_April23 (1'!I303+'All_India_Index_Upto_April23 (1'!J303+'All_India_Index_Upto_April23 (1'!K303+'All_India_Index_Upto_April23 (1'!L303+'All_India_Index_Upto_April23 (1'!M303+'All_India_Index_Upto_April23 (1'!N303+'All_India_Index_Upto_April23 (1'!O303+'All_India_Index_Upto_April23 (1'!P303</f>
        <v>1765.8999999999999</v>
      </c>
      <c r="E303">
        <f>'All_India_Index_Upto_April23 (1'!E303+'All_India_Index_Upto_April23 (1'!F303</f>
        <v>388.3</v>
      </c>
      <c r="F303">
        <v>195.6</v>
      </c>
      <c r="G303">
        <f>'All_India_Index_Upto_April23 (1'!R303+'All_India_Index_Upto_April23 (1'!S303+'All_India_Index_Upto_April23 (1'!T303</f>
        <v>452.6</v>
      </c>
      <c r="H303">
        <f>'All_India_Index_Upto_April23 (1'!U303+'All_India_Index_Upto_April23 (1'!W303</f>
        <v>310.3</v>
      </c>
      <c r="I303">
        <v>156.1</v>
      </c>
      <c r="J303">
        <v>160.80000000000001</v>
      </c>
      <c r="K303">
        <v>147.5</v>
      </c>
      <c r="L303">
        <f>'All_India_Index_Upto_April23 (1'!Z303+'All_India_Index_Upto_April23 (1'!AA303+'All_India_Index_Upto_April23 (1'!AB303+'All_India_Index_Upto_April23 (1'!AC303+'All_India_Index_Upto_April23 (1'!AD303</f>
        <v>780.59999999999991</v>
      </c>
      <c r="M303">
        <f t="shared" si="44"/>
        <v>4357.7</v>
      </c>
      <c r="N303">
        <f t="shared" si="45"/>
        <v>40.523670743740965</v>
      </c>
      <c r="O303">
        <f t="shared" si="46"/>
        <v>8.9106638823232451</v>
      </c>
      <c r="P303">
        <f t="shared" si="47"/>
        <v>4.4886063749225515</v>
      </c>
      <c r="Q303">
        <f t="shared" si="48"/>
        <v>10.3862129104803</v>
      </c>
      <c r="R303">
        <f t="shared" si="49"/>
        <v>7.1207288248387917</v>
      </c>
      <c r="S303">
        <f t="shared" si="50"/>
        <v>3.5821649035041419</v>
      </c>
      <c r="T303">
        <f t="shared" si="51"/>
        <v>3.6900199646602569</v>
      </c>
      <c r="U303">
        <f t="shared" si="52"/>
        <v>3.3848130894738051</v>
      </c>
      <c r="V303">
        <f t="shared" si="53"/>
        <v>17.913119306055947</v>
      </c>
      <c r="W303">
        <f t="shared" si="54"/>
        <v>100</v>
      </c>
    </row>
    <row r="304" spans="1:23" x14ac:dyDescent="0.3">
      <c r="A304" t="s">
        <v>33</v>
      </c>
      <c r="B304">
        <v>2021</v>
      </c>
      <c r="C304" t="s">
        <v>38</v>
      </c>
      <c r="D304">
        <f>'All_India_Index_Upto_April23 (1'!D304+'All_India_Index_Upto_April23 (1'!G304+'All_India_Index_Upto_April23 (1'!H304+'All_India_Index_Upto_April23 (1'!I304+'All_India_Index_Upto_April23 (1'!J304+'All_India_Index_Upto_April23 (1'!K304+'All_India_Index_Upto_April23 (1'!L304+'All_India_Index_Upto_April23 (1'!M304+'All_India_Index_Upto_April23 (1'!N304+'All_India_Index_Upto_April23 (1'!O304+'All_India_Index_Upto_April23 (1'!P304</f>
        <v>1751.1999999999998</v>
      </c>
      <c r="E304">
        <f>'All_India_Index_Upto_April23 (1'!E304+'All_India_Index_Upto_April23 (1'!F304</f>
        <v>382.7</v>
      </c>
      <c r="F304">
        <v>190.8</v>
      </c>
      <c r="G304">
        <f>'All_India_Index_Upto_April23 (1'!R304+'All_India_Index_Upto_April23 (1'!S304+'All_India_Index_Upto_April23 (1'!T304</f>
        <v>474.7</v>
      </c>
      <c r="H304">
        <f>'All_India_Index_Upto_April23 (1'!U304+'All_India_Index_Upto_April23 (1'!W304</f>
        <v>315.3</v>
      </c>
      <c r="I304">
        <v>159.80000000000001</v>
      </c>
      <c r="J304">
        <v>166.3</v>
      </c>
      <c r="K304">
        <v>150.69999999999999</v>
      </c>
      <c r="L304">
        <f>'All_India_Index_Upto_April23 (1'!Z304+'All_India_Index_Upto_April23 (1'!AA304+'All_India_Index_Upto_April23 (1'!AB304+'All_India_Index_Upto_April23 (1'!AC304+'All_India_Index_Upto_April23 (1'!AD304</f>
        <v>794.3</v>
      </c>
      <c r="M304">
        <f t="shared" si="44"/>
        <v>4385.8</v>
      </c>
      <c r="N304">
        <f t="shared" si="45"/>
        <v>39.928861325185821</v>
      </c>
      <c r="O304">
        <f t="shared" si="46"/>
        <v>8.7258880933923102</v>
      </c>
      <c r="P304">
        <f t="shared" si="47"/>
        <v>4.3504035751744263</v>
      </c>
      <c r="Q304">
        <f t="shared" si="48"/>
        <v>10.823566966117927</v>
      </c>
      <c r="R304">
        <f t="shared" si="49"/>
        <v>7.1891103105476768</v>
      </c>
      <c r="S304">
        <f t="shared" si="50"/>
        <v>3.6435769984951434</v>
      </c>
      <c r="T304">
        <f t="shared" si="51"/>
        <v>3.7917825710246702</v>
      </c>
      <c r="U304">
        <f t="shared" si="52"/>
        <v>3.4360891969538052</v>
      </c>
      <c r="V304">
        <f t="shared" si="53"/>
        <v>18.110720963108211</v>
      </c>
      <c r="W304">
        <f t="shared" si="54"/>
        <v>99.999999999999986</v>
      </c>
    </row>
    <row r="305" spans="1:23" x14ac:dyDescent="0.3">
      <c r="A305" t="s">
        <v>30</v>
      </c>
      <c r="B305">
        <v>2021</v>
      </c>
      <c r="C305" t="s">
        <v>39</v>
      </c>
      <c r="D305">
        <f>'All_India_Index_Upto_April23 (1'!D305+'All_India_Index_Upto_April23 (1'!G305+'All_India_Index_Upto_April23 (1'!H305+'All_India_Index_Upto_April23 (1'!I305+'All_India_Index_Upto_April23 (1'!J305+'All_India_Index_Upto_April23 (1'!K305+'All_India_Index_Upto_April23 (1'!L305+'All_India_Index_Upto_April23 (1'!M305+'All_India_Index_Upto_April23 (1'!N305+'All_India_Index_Upto_April23 (1'!O305+'All_India_Index_Upto_April23 (1'!P305</f>
        <v>1747.5</v>
      </c>
      <c r="E305">
        <f>'All_India_Index_Upto_April23 (1'!E305+'All_India_Index_Upto_April23 (1'!F305</f>
        <v>384.9</v>
      </c>
      <c r="F305">
        <v>189.7</v>
      </c>
      <c r="G305">
        <f>'All_India_Index_Upto_April23 (1'!R305+'All_India_Index_Upto_April23 (1'!S305+'All_India_Index_Upto_April23 (1'!T305</f>
        <v>492.40000000000003</v>
      </c>
      <c r="H305">
        <f>'All_India_Index_Upto_April23 (1'!U305+'All_India_Index_Upto_April23 (1'!W305</f>
        <v>160.30000000000001</v>
      </c>
      <c r="I305">
        <v>162.5</v>
      </c>
      <c r="J305">
        <v>170.4</v>
      </c>
      <c r="K305">
        <v>157.1</v>
      </c>
      <c r="L305">
        <f>'All_India_Index_Upto_April23 (1'!Z305+'All_India_Index_Upto_April23 (1'!AA305+'All_India_Index_Upto_April23 (1'!AB305+'All_India_Index_Upto_April23 (1'!AC305+'All_India_Index_Upto_April23 (1'!AD305</f>
        <v>814.3</v>
      </c>
      <c r="M305">
        <f t="shared" si="44"/>
        <v>4279.1000000000004</v>
      </c>
      <c r="N305">
        <f t="shared" si="45"/>
        <v>40.838026687854914</v>
      </c>
      <c r="O305">
        <f t="shared" si="46"/>
        <v>8.9948821013764562</v>
      </c>
      <c r="P305">
        <f t="shared" si="47"/>
        <v>4.4331752003926059</v>
      </c>
      <c r="Q305">
        <f t="shared" si="48"/>
        <v>11.507092612932626</v>
      </c>
      <c r="R305">
        <f t="shared" si="49"/>
        <v>3.7461148372321285</v>
      </c>
      <c r="S305">
        <f t="shared" si="50"/>
        <v>3.7975275174686263</v>
      </c>
      <c r="T305">
        <f t="shared" si="51"/>
        <v>3.9821457783178706</v>
      </c>
      <c r="U305">
        <f t="shared" si="52"/>
        <v>3.67133275688813</v>
      </c>
      <c r="V305">
        <f t="shared" si="53"/>
        <v>19.029702507536626</v>
      </c>
      <c r="W305">
        <f t="shared" si="54"/>
        <v>99.999999999999986</v>
      </c>
    </row>
    <row r="306" spans="1:23" x14ac:dyDescent="0.3">
      <c r="A306" t="s">
        <v>32</v>
      </c>
      <c r="B306">
        <v>2021</v>
      </c>
      <c r="C306" t="s">
        <v>39</v>
      </c>
      <c r="D306">
        <f>'All_India_Index_Upto_April23 (1'!D306+'All_India_Index_Upto_April23 (1'!G306+'All_India_Index_Upto_April23 (1'!H306+'All_India_Index_Upto_April23 (1'!I306+'All_India_Index_Upto_April23 (1'!J306+'All_India_Index_Upto_April23 (1'!K306+'All_India_Index_Upto_April23 (1'!L306+'All_India_Index_Upto_April23 (1'!M306+'All_India_Index_Upto_April23 (1'!N306+'All_India_Index_Upto_April23 (1'!O306+'All_India_Index_Upto_April23 (1'!P306</f>
        <v>1775.9</v>
      </c>
      <c r="E306">
        <f>'All_India_Index_Upto_April23 (1'!E306+'All_India_Index_Upto_April23 (1'!F306</f>
        <v>395.9</v>
      </c>
      <c r="F306">
        <v>195.5</v>
      </c>
      <c r="G306">
        <f>'All_India_Index_Upto_April23 (1'!R306+'All_India_Index_Upto_April23 (1'!S306+'All_India_Index_Upto_April23 (1'!T306</f>
        <v>455.3</v>
      </c>
      <c r="H306">
        <f>'All_India_Index_Upto_April23 (1'!U306+'All_India_Index_Upto_April23 (1'!W306</f>
        <v>312.2</v>
      </c>
      <c r="I306">
        <v>157.69999999999999</v>
      </c>
      <c r="J306">
        <v>161.5</v>
      </c>
      <c r="K306">
        <v>149.5</v>
      </c>
      <c r="L306">
        <f>'All_India_Index_Upto_April23 (1'!Z306+'All_India_Index_Upto_April23 (1'!AA306+'All_India_Index_Upto_April23 (1'!AB306+'All_India_Index_Upto_April23 (1'!AC306+'All_India_Index_Upto_April23 (1'!AD306</f>
        <v>787.90000000000009</v>
      </c>
      <c r="M306">
        <f t="shared" si="44"/>
        <v>4391.3999999999996</v>
      </c>
      <c r="N306">
        <f t="shared" si="45"/>
        <v>40.440406248576771</v>
      </c>
      <c r="O306">
        <f t="shared" si="46"/>
        <v>9.0153481805346818</v>
      </c>
      <c r="P306">
        <f t="shared" si="47"/>
        <v>4.451883226305962</v>
      </c>
      <c r="Q306">
        <f t="shared" si="48"/>
        <v>10.367991984333015</v>
      </c>
      <c r="R306">
        <f t="shared" si="49"/>
        <v>7.109350093364303</v>
      </c>
      <c r="S306">
        <f t="shared" si="50"/>
        <v>3.5911098966161132</v>
      </c>
      <c r="T306">
        <f t="shared" si="51"/>
        <v>3.6776426652092726</v>
      </c>
      <c r="U306">
        <f t="shared" si="52"/>
        <v>3.404381290704559</v>
      </c>
      <c r="V306">
        <f t="shared" si="53"/>
        <v>17.941886414355334</v>
      </c>
      <c r="W306">
        <f t="shared" si="54"/>
        <v>100.00000000000001</v>
      </c>
    </row>
    <row r="307" spans="1:23" x14ac:dyDescent="0.3">
      <c r="A307" t="s">
        <v>33</v>
      </c>
      <c r="B307">
        <v>2021</v>
      </c>
      <c r="C307" t="s">
        <v>39</v>
      </c>
      <c r="D307">
        <f>'All_India_Index_Upto_April23 (1'!D307+'All_India_Index_Upto_April23 (1'!G307+'All_India_Index_Upto_April23 (1'!H307+'All_India_Index_Upto_April23 (1'!I307+'All_India_Index_Upto_April23 (1'!J307+'All_India_Index_Upto_April23 (1'!K307+'All_India_Index_Upto_April23 (1'!L307+'All_India_Index_Upto_April23 (1'!M307+'All_India_Index_Upto_April23 (1'!N307+'All_India_Index_Upto_April23 (1'!O307+'All_India_Index_Upto_April23 (1'!P307</f>
        <v>1758</v>
      </c>
      <c r="E307">
        <f>'All_India_Index_Upto_April23 (1'!E307+'All_India_Index_Upto_April23 (1'!F307</f>
        <v>389</v>
      </c>
      <c r="F307">
        <v>191.2</v>
      </c>
      <c r="G307">
        <f>'All_India_Index_Upto_April23 (1'!R307+'All_India_Index_Upto_April23 (1'!S307+'All_India_Index_Upto_April23 (1'!T307</f>
        <v>477.29999999999995</v>
      </c>
      <c r="H307">
        <f>'All_India_Index_Upto_April23 (1'!U307+'All_India_Index_Upto_April23 (1'!W307</f>
        <v>317.3</v>
      </c>
      <c r="I307">
        <v>160.69999999999999</v>
      </c>
      <c r="J307">
        <v>167</v>
      </c>
      <c r="K307">
        <v>153.1</v>
      </c>
      <c r="L307">
        <f>'All_India_Index_Upto_April23 (1'!Z307+'All_India_Index_Upto_April23 (1'!AA307+'All_India_Index_Upto_April23 (1'!AB307+'All_India_Index_Upto_April23 (1'!AC307+'All_India_Index_Upto_April23 (1'!AD307</f>
        <v>800.1</v>
      </c>
      <c r="M307">
        <f t="shared" si="44"/>
        <v>4413.7</v>
      </c>
      <c r="N307">
        <f t="shared" si="45"/>
        <v>39.830527675193153</v>
      </c>
      <c r="O307">
        <f t="shared" si="46"/>
        <v>8.8134671590728875</v>
      </c>
      <c r="P307">
        <f t="shared" si="47"/>
        <v>4.3319663774157728</v>
      </c>
      <c r="Q307">
        <f t="shared" si="48"/>
        <v>10.814056233998686</v>
      </c>
      <c r="R307">
        <f t="shared" si="49"/>
        <v>7.1889797675419729</v>
      </c>
      <c r="S307">
        <f t="shared" si="50"/>
        <v>3.6409361759974628</v>
      </c>
      <c r="T307">
        <f t="shared" si="51"/>
        <v>3.7836735618641959</v>
      </c>
      <c r="U307">
        <f t="shared" si="52"/>
        <v>3.4687450438407685</v>
      </c>
      <c r="V307">
        <f t="shared" si="53"/>
        <v>18.127648005075109</v>
      </c>
      <c r="W307">
        <f t="shared" si="54"/>
        <v>100</v>
      </c>
    </row>
    <row r="308" spans="1:23" x14ac:dyDescent="0.3">
      <c r="A308" t="s">
        <v>30</v>
      </c>
      <c r="B308">
        <v>2021</v>
      </c>
      <c r="C308" t="s">
        <v>40</v>
      </c>
      <c r="D308">
        <f>'All_India_Index_Upto_April23 (1'!D308+'All_India_Index_Upto_April23 (1'!G308+'All_India_Index_Upto_April23 (1'!H308+'All_India_Index_Upto_April23 (1'!I308+'All_India_Index_Upto_April23 (1'!J308+'All_India_Index_Upto_April23 (1'!K308+'All_India_Index_Upto_April23 (1'!L308+'All_India_Index_Upto_April23 (1'!M308+'All_India_Index_Upto_April23 (1'!N308+'All_India_Index_Upto_April23 (1'!O308+'All_India_Index_Upto_April23 (1'!P308</f>
        <v>1752</v>
      </c>
      <c r="E308">
        <f>'All_India_Index_Upto_April23 (1'!E308+'All_India_Index_Upto_April23 (1'!F308</f>
        <v>378.8</v>
      </c>
      <c r="F308">
        <v>190.2</v>
      </c>
      <c r="G308">
        <f>'All_India_Index_Upto_April23 (1'!R308+'All_India_Index_Upto_April23 (1'!S308+'All_India_Index_Upto_April23 (1'!T308</f>
        <v>495.90000000000003</v>
      </c>
      <c r="H308">
        <f>'All_India_Index_Upto_April23 (1'!U308+'All_India_Index_Upto_April23 (1'!W308</f>
        <v>160.9</v>
      </c>
      <c r="I308">
        <v>163.1</v>
      </c>
      <c r="J308">
        <v>171.1</v>
      </c>
      <c r="K308">
        <v>157.69999999999999</v>
      </c>
      <c r="L308">
        <f>'All_India_Index_Upto_April23 (1'!Z308+'All_India_Index_Upto_April23 (1'!AA308+'All_India_Index_Upto_April23 (1'!AB308+'All_India_Index_Upto_April23 (1'!AC308+'All_India_Index_Upto_April23 (1'!AD308</f>
        <v>815.80000000000007</v>
      </c>
      <c r="M308">
        <f t="shared" si="44"/>
        <v>4285.5</v>
      </c>
      <c r="N308">
        <f t="shared" si="45"/>
        <v>40.882044102205114</v>
      </c>
      <c r="O308">
        <f t="shared" si="46"/>
        <v>8.8391086220977719</v>
      </c>
      <c r="P308">
        <f t="shared" si="47"/>
        <v>4.4382219110955541</v>
      </c>
      <c r="Q308">
        <f t="shared" si="48"/>
        <v>11.571578578928946</v>
      </c>
      <c r="R308">
        <f t="shared" si="49"/>
        <v>3.754521059386303</v>
      </c>
      <c r="S308">
        <f t="shared" si="50"/>
        <v>3.8058569595146428</v>
      </c>
      <c r="T308">
        <f t="shared" si="51"/>
        <v>3.992532959981332</v>
      </c>
      <c r="U308">
        <f t="shared" si="52"/>
        <v>3.6798506591996265</v>
      </c>
      <c r="V308">
        <f t="shared" si="53"/>
        <v>19.036285147590714</v>
      </c>
      <c r="W308">
        <f t="shared" si="54"/>
        <v>100.00000000000001</v>
      </c>
    </row>
    <row r="309" spans="1:23" x14ac:dyDescent="0.3">
      <c r="A309" t="s">
        <v>32</v>
      </c>
      <c r="B309">
        <v>2021</v>
      </c>
      <c r="C309" t="s">
        <v>40</v>
      </c>
      <c r="D309">
        <f>'All_India_Index_Upto_April23 (1'!D309+'All_India_Index_Upto_April23 (1'!G309+'All_India_Index_Upto_April23 (1'!H309+'All_India_Index_Upto_April23 (1'!I309+'All_India_Index_Upto_April23 (1'!J309+'All_India_Index_Upto_April23 (1'!K309+'All_India_Index_Upto_April23 (1'!L309+'All_India_Index_Upto_April23 (1'!M309+'All_India_Index_Upto_April23 (1'!N309+'All_India_Index_Upto_April23 (1'!O309+'All_India_Index_Upto_April23 (1'!P309</f>
        <v>1776.3999999999999</v>
      </c>
      <c r="E309">
        <f>'All_India_Index_Upto_April23 (1'!E309+'All_India_Index_Upto_April23 (1'!F309</f>
        <v>381.5</v>
      </c>
      <c r="F309">
        <v>196.5</v>
      </c>
      <c r="G309">
        <f>'All_India_Index_Upto_April23 (1'!R309+'All_India_Index_Upto_April23 (1'!S309+'All_India_Index_Upto_April23 (1'!T309</f>
        <v>460.7</v>
      </c>
      <c r="H309">
        <f>'All_India_Index_Upto_April23 (1'!U309+'All_India_Index_Upto_April23 (1'!W309</f>
        <v>315.29999999999995</v>
      </c>
      <c r="I309">
        <v>160.69999999999999</v>
      </c>
      <c r="J309">
        <v>162.80000000000001</v>
      </c>
      <c r="K309">
        <v>150.4</v>
      </c>
      <c r="L309">
        <f>'All_India_Index_Upto_April23 (1'!Z309+'All_India_Index_Upto_April23 (1'!AA309+'All_India_Index_Upto_April23 (1'!AB309+'All_India_Index_Upto_April23 (1'!AC309+'All_India_Index_Upto_April23 (1'!AD309</f>
        <v>792</v>
      </c>
      <c r="M309">
        <f t="shared" si="44"/>
        <v>4396.2999999999993</v>
      </c>
      <c r="N309">
        <f t="shared" si="45"/>
        <v>40.406705638832655</v>
      </c>
      <c r="O309">
        <f t="shared" si="46"/>
        <v>8.6777517457862299</v>
      </c>
      <c r="P309">
        <f t="shared" si="47"/>
        <v>4.4696676750904176</v>
      </c>
      <c r="Q309">
        <f t="shared" si="48"/>
        <v>10.479266656051681</v>
      </c>
      <c r="R309">
        <f t="shared" si="49"/>
        <v>7.1719400404885931</v>
      </c>
      <c r="S309">
        <f t="shared" si="50"/>
        <v>3.6553465414098221</v>
      </c>
      <c r="T309">
        <f t="shared" si="51"/>
        <v>3.703113982212316</v>
      </c>
      <c r="U309">
        <f t="shared" si="52"/>
        <v>3.4210586174737858</v>
      </c>
      <c r="V309">
        <f t="shared" si="53"/>
        <v>18.015149102654508</v>
      </c>
      <c r="W309">
        <f t="shared" si="54"/>
        <v>100.00000000000001</v>
      </c>
    </row>
    <row r="310" spans="1:23" x14ac:dyDescent="0.3">
      <c r="A310" t="s">
        <v>33</v>
      </c>
      <c r="B310">
        <v>2021</v>
      </c>
      <c r="C310" t="s">
        <v>40</v>
      </c>
      <c r="D310">
        <f>'All_India_Index_Upto_April23 (1'!D310+'All_India_Index_Upto_April23 (1'!G310+'All_India_Index_Upto_April23 (1'!H310+'All_India_Index_Upto_April23 (1'!I310+'All_India_Index_Upto_April23 (1'!J310+'All_India_Index_Upto_April23 (1'!K310+'All_India_Index_Upto_April23 (1'!L310+'All_India_Index_Upto_April23 (1'!M310+'All_India_Index_Upto_April23 (1'!N310+'All_India_Index_Upto_April23 (1'!O310+'All_India_Index_Upto_April23 (1'!P310</f>
        <v>1765.2</v>
      </c>
      <c r="E310">
        <f>'All_India_Index_Upto_April23 (1'!E310+'All_India_Index_Upto_April23 (1'!F310</f>
        <v>376.8</v>
      </c>
      <c r="F310">
        <v>192.1</v>
      </c>
      <c r="G310">
        <f>'All_India_Index_Upto_April23 (1'!R310+'All_India_Index_Upto_April23 (1'!S310+'All_India_Index_Upto_April23 (1'!T310</f>
        <v>483</v>
      </c>
      <c r="H310">
        <f>'All_India_Index_Upto_April23 (1'!U310+'All_India_Index_Upto_April23 (1'!W310</f>
        <v>319.60000000000002</v>
      </c>
      <c r="I310">
        <v>162.6</v>
      </c>
      <c r="J310">
        <v>168.4</v>
      </c>
      <c r="K310">
        <v>154</v>
      </c>
      <c r="L310">
        <f>'All_India_Index_Upto_April23 (1'!Z310+'All_India_Index_Upto_April23 (1'!AA310+'All_India_Index_Upto_April23 (1'!AB310+'All_India_Index_Upto_April23 (1'!AC310+'All_India_Index_Upto_April23 (1'!AD310</f>
        <v>804.59999999999991</v>
      </c>
      <c r="M310">
        <f t="shared" si="44"/>
        <v>4426.2999999999993</v>
      </c>
      <c r="N310">
        <f t="shared" si="45"/>
        <v>39.879809321555257</v>
      </c>
      <c r="O310">
        <f t="shared" si="46"/>
        <v>8.5127533154101638</v>
      </c>
      <c r="P310">
        <f t="shared" si="47"/>
        <v>4.339967919029438</v>
      </c>
      <c r="Q310">
        <f t="shared" si="48"/>
        <v>10.912048437747105</v>
      </c>
      <c r="R310">
        <f t="shared" si="49"/>
        <v>7.220477599801189</v>
      </c>
      <c r="S310">
        <f t="shared" si="50"/>
        <v>3.6734970517136216</v>
      </c>
      <c r="T310">
        <f t="shared" si="51"/>
        <v>3.8045320018977478</v>
      </c>
      <c r="U310">
        <f t="shared" si="52"/>
        <v>3.4792038497164683</v>
      </c>
      <c r="V310">
        <f t="shared" si="53"/>
        <v>18.177710503129024</v>
      </c>
      <c r="W310">
        <f t="shared" si="54"/>
        <v>100.00000000000003</v>
      </c>
    </row>
    <row r="311" spans="1:23" x14ac:dyDescent="0.3">
      <c r="A311" t="s">
        <v>30</v>
      </c>
      <c r="B311">
        <v>2021</v>
      </c>
      <c r="C311" t="s">
        <v>41</v>
      </c>
      <c r="D311">
        <f>'All_India_Index_Upto_April23 (1'!D311+'All_India_Index_Upto_April23 (1'!G311+'All_India_Index_Upto_April23 (1'!H311+'All_India_Index_Upto_April23 (1'!I311+'All_India_Index_Upto_April23 (1'!J311+'All_India_Index_Upto_April23 (1'!K311+'All_India_Index_Upto_April23 (1'!L311+'All_India_Index_Upto_April23 (1'!M311+'All_India_Index_Upto_April23 (1'!N311+'All_India_Index_Upto_April23 (1'!O311+'All_India_Index_Upto_April23 (1'!P311</f>
        <v>1759.4999999999995</v>
      </c>
      <c r="E311">
        <f>'All_India_Index_Upto_April23 (1'!E311+'All_India_Index_Upto_April23 (1'!F311</f>
        <v>374.1</v>
      </c>
      <c r="F311">
        <v>190.5</v>
      </c>
      <c r="G311">
        <f>'All_India_Index_Upto_April23 (1'!R311+'All_India_Index_Upto_April23 (1'!S311+'All_India_Index_Upto_April23 (1'!T311</f>
        <v>498.4</v>
      </c>
      <c r="H311">
        <f>'All_India_Index_Upto_April23 (1'!U311+'All_India_Index_Upto_April23 (1'!W311</f>
        <v>161.30000000000001</v>
      </c>
      <c r="I311">
        <v>163.69999999999999</v>
      </c>
      <c r="J311">
        <v>171.9</v>
      </c>
      <c r="K311">
        <v>157.80000000000001</v>
      </c>
      <c r="L311">
        <f>'All_India_Index_Upto_April23 (1'!Z311+'All_India_Index_Upto_April23 (1'!AA311+'All_India_Index_Upto_April23 (1'!AB311+'All_India_Index_Upto_April23 (1'!AC311+'All_India_Index_Upto_April23 (1'!AD311</f>
        <v>819.2</v>
      </c>
      <c r="M311">
        <f t="shared" si="44"/>
        <v>4296.3999999999996</v>
      </c>
      <c r="N311">
        <f t="shared" si="45"/>
        <v>40.952890792291214</v>
      </c>
      <c r="O311">
        <f t="shared" si="46"/>
        <v>8.7072898240387318</v>
      </c>
      <c r="P311">
        <f t="shared" si="47"/>
        <v>4.4339446978866031</v>
      </c>
      <c r="Q311">
        <f t="shared" si="48"/>
        <v>11.600409645284424</v>
      </c>
      <c r="R311">
        <f t="shared" si="49"/>
        <v>3.7543059305465047</v>
      </c>
      <c r="S311">
        <f t="shared" si="50"/>
        <v>3.8101666511497996</v>
      </c>
      <c r="T311">
        <f t="shared" si="51"/>
        <v>4.0010241132110611</v>
      </c>
      <c r="U311">
        <f t="shared" si="52"/>
        <v>3.6728423796666987</v>
      </c>
      <c r="V311">
        <f t="shared" si="53"/>
        <v>19.067125965924962</v>
      </c>
      <c r="W311">
        <f t="shared" si="54"/>
        <v>100</v>
      </c>
    </row>
    <row r="312" spans="1:23" x14ac:dyDescent="0.3">
      <c r="A312" t="s">
        <v>32</v>
      </c>
      <c r="B312">
        <v>2021</v>
      </c>
      <c r="C312" t="s">
        <v>41</v>
      </c>
      <c r="D312">
        <f>'All_India_Index_Upto_April23 (1'!D312+'All_India_Index_Upto_April23 (1'!G312+'All_India_Index_Upto_April23 (1'!H312+'All_India_Index_Upto_April23 (1'!I312+'All_India_Index_Upto_April23 (1'!J312+'All_India_Index_Upto_April23 (1'!K312+'All_India_Index_Upto_April23 (1'!L312+'All_India_Index_Upto_April23 (1'!M312+'All_India_Index_Upto_April23 (1'!N312+'All_India_Index_Upto_April23 (1'!O312+'All_India_Index_Upto_April23 (1'!P312</f>
        <v>1776.3999999999999</v>
      </c>
      <c r="E312">
        <f>'All_India_Index_Upto_April23 (1'!E312+'All_India_Index_Upto_April23 (1'!F312</f>
        <v>381.5</v>
      </c>
      <c r="F312">
        <v>196.5</v>
      </c>
      <c r="G312">
        <f>'All_India_Index_Upto_April23 (1'!R312+'All_India_Index_Upto_April23 (1'!S312+'All_India_Index_Upto_April23 (1'!T312</f>
        <v>460.79999999999995</v>
      </c>
      <c r="H312">
        <f>'All_India_Index_Upto_April23 (1'!U312+'All_India_Index_Upto_April23 (1'!W312</f>
        <v>315.39999999999998</v>
      </c>
      <c r="I312">
        <v>160.80000000000001</v>
      </c>
      <c r="J312">
        <v>162.80000000000001</v>
      </c>
      <c r="K312">
        <v>150.5</v>
      </c>
      <c r="L312">
        <f>'All_India_Index_Upto_April23 (1'!Z312+'All_India_Index_Upto_April23 (1'!AA312+'All_India_Index_Upto_April23 (1'!AB312+'All_India_Index_Upto_April23 (1'!AC312+'All_India_Index_Upto_April23 (1'!AD312</f>
        <v>792.10000000000014</v>
      </c>
      <c r="M312">
        <f t="shared" si="44"/>
        <v>4396.8</v>
      </c>
      <c r="N312">
        <f t="shared" si="45"/>
        <v>40.402110625909749</v>
      </c>
      <c r="O312">
        <f t="shared" si="46"/>
        <v>8.6767649199417747</v>
      </c>
      <c r="P312">
        <f t="shared" si="47"/>
        <v>4.4691593886462879</v>
      </c>
      <c r="Q312">
        <f t="shared" si="48"/>
        <v>10.480349344978164</v>
      </c>
      <c r="R312">
        <f t="shared" si="49"/>
        <v>7.1733988355167382</v>
      </c>
      <c r="S312">
        <f t="shared" si="50"/>
        <v>3.6572052401746729</v>
      </c>
      <c r="T312">
        <f t="shared" si="51"/>
        <v>3.702692867540029</v>
      </c>
      <c r="U312">
        <f t="shared" si="52"/>
        <v>3.4229439592430855</v>
      </c>
      <c r="V312">
        <f t="shared" si="53"/>
        <v>18.015374818049494</v>
      </c>
      <c r="W312">
        <f t="shared" si="54"/>
        <v>99.999999999999986</v>
      </c>
    </row>
    <row r="313" spans="1:23" x14ac:dyDescent="0.3">
      <c r="A313" t="s">
        <v>33</v>
      </c>
      <c r="B313">
        <v>2021</v>
      </c>
      <c r="C313" t="s">
        <v>41</v>
      </c>
      <c r="D313">
        <f>'All_India_Index_Upto_April23 (1'!D313+'All_India_Index_Upto_April23 (1'!G313+'All_India_Index_Upto_April23 (1'!H313+'All_India_Index_Upto_April23 (1'!I313+'All_India_Index_Upto_April23 (1'!J313+'All_India_Index_Upto_April23 (1'!K313+'All_India_Index_Upto_April23 (1'!L313+'All_India_Index_Upto_April23 (1'!M313+'All_India_Index_Upto_April23 (1'!N313+'All_India_Index_Upto_April23 (1'!O313+'All_India_Index_Upto_April23 (1'!P313</f>
        <v>1765.2</v>
      </c>
      <c r="E313">
        <f>'All_India_Index_Upto_April23 (1'!E313+'All_India_Index_Upto_April23 (1'!F313</f>
        <v>376.8</v>
      </c>
      <c r="F313">
        <v>192.1</v>
      </c>
      <c r="G313">
        <f>'All_India_Index_Upto_April23 (1'!R313+'All_India_Index_Upto_April23 (1'!S313+'All_India_Index_Upto_April23 (1'!T313</f>
        <v>483.2</v>
      </c>
      <c r="H313">
        <f>'All_India_Index_Upto_April23 (1'!U313+'All_India_Index_Upto_April23 (1'!W313</f>
        <v>319.60000000000002</v>
      </c>
      <c r="I313">
        <v>162.6</v>
      </c>
      <c r="J313">
        <v>168.4</v>
      </c>
      <c r="K313">
        <v>154</v>
      </c>
      <c r="L313">
        <f>'All_India_Index_Upto_April23 (1'!Z313+'All_India_Index_Upto_April23 (1'!AA313+'All_India_Index_Upto_April23 (1'!AB313+'All_India_Index_Upto_April23 (1'!AC313+'All_India_Index_Upto_April23 (1'!AD313</f>
        <v>804.59999999999991</v>
      </c>
      <c r="M313">
        <f t="shared" si="44"/>
        <v>4426.5</v>
      </c>
      <c r="N313">
        <f t="shared" si="45"/>
        <v>39.878007455099969</v>
      </c>
      <c r="O313">
        <f t="shared" si="46"/>
        <v>8.5123686885801426</v>
      </c>
      <c r="P313">
        <f t="shared" si="47"/>
        <v>4.3397718287586127</v>
      </c>
      <c r="Q313">
        <f t="shared" si="48"/>
        <v>10.916073647351181</v>
      </c>
      <c r="R313">
        <f t="shared" si="49"/>
        <v>7.220151361120525</v>
      </c>
      <c r="S313">
        <f t="shared" si="50"/>
        <v>3.6733310742121312</v>
      </c>
      <c r="T313">
        <f t="shared" si="51"/>
        <v>3.8043601039195756</v>
      </c>
      <c r="U313">
        <f t="shared" si="52"/>
        <v>3.4790466508528182</v>
      </c>
      <c r="V313">
        <f t="shared" si="53"/>
        <v>18.176889190105047</v>
      </c>
      <c r="W313">
        <f t="shared" si="54"/>
        <v>100.00000000000001</v>
      </c>
    </row>
    <row r="314" spans="1:23" x14ac:dyDescent="0.3">
      <c r="A314" t="s">
        <v>30</v>
      </c>
      <c r="B314">
        <v>2021</v>
      </c>
      <c r="C314" t="s">
        <v>42</v>
      </c>
      <c r="D314">
        <f>'All_India_Index_Upto_April23 (1'!D314+'All_India_Index_Upto_April23 (1'!G314+'All_India_Index_Upto_April23 (1'!H314+'All_India_Index_Upto_April23 (1'!I314+'All_India_Index_Upto_April23 (1'!J314+'All_India_Index_Upto_April23 (1'!K314+'All_India_Index_Upto_April23 (1'!L314+'All_India_Index_Upto_April23 (1'!M314+'All_India_Index_Upto_April23 (1'!N314+'All_India_Index_Upto_April23 (1'!O314+'All_India_Index_Upto_April23 (1'!P314</f>
        <v>1791.5999999999997</v>
      </c>
      <c r="E314">
        <f>'All_India_Index_Upto_April23 (1'!E314+'All_India_Index_Upto_April23 (1'!F314</f>
        <v>372.6</v>
      </c>
      <c r="F314">
        <v>191.2</v>
      </c>
      <c r="G314">
        <f>'All_India_Index_Upto_April23 (1'!R314+'All_India_Index_Upto_April23 (1'!S314+'All_India_Index_Upto_April23 (1'!T314</f>
        <v>502.00000000000006</v>
      </c>
      <c r="H314">
        <f>'All_India_Index_Upto_April23 (1'!U314+'All_India_Index_Upto_April23 (1'!W314</f>
        <v>162</v>
      </c>
      <c r="I314">
        <v>165.5</v>
      </c>
      <c r="J314">
        <v>172.5</v>
      </c>
      <c r="K314">
        <v>159.5</v>
      </c>
      <c r="L314">
        <f>'All_India_Index_Upto_April23 (1'!Z314+'All_India_Index_Upto_April23 (1'!AA314+'All_India_Index_Upto_April23 (1'!AB314+'All_India_Index_Upto_April23 (1'!AC314+'All_India_Index_Upto_April23 (1'!AD314</f>
        <v>824.3</v>
      </c>
      <c r="M314">
        <f t="shared" si="44"/>
        <v>4341.2</v>
      </c>
      <c r="N314">
        <f t="shared" si="45"/>
        <v>41.269695015203162</v>
      </c>
      <c r="O314">
        <f t="shared" si="46"/>
        <v>8.5828803095918182</v>
      </c>
      <c r="P314">
        <f t="shared" si="47"/>
        <v>4.4043121717497469</v>
      </c>
      <c r="Q314">
        <f t="shared" si="48"/>
        <v>11.563622961393165</v>
      </c>
      <c r="R314">
        <f t="shared" si="49"/>
        <v>3.7316870911268776</v>
      </c>
      <c r="S314">
        <f t="shared" si="50"/>
        <v>3.8123099603796189</v>
      </c>
      <c r="T314">
        <f t="shared" si="51"/>
        <v>3.9735556988851015</v>
      </c>
      <c r="U314">
        <f t="shared" si="52"/>
        <v>3.6740993273749196</v>
      </c>
      <c r="V314">
        <f t="shared" si="53"/>
        <v>18.987837464295588</v>
      </c>
      <c r="W314">
        <f t="shared" si="54"/>
        <v>100</v>
      </c>
    </row>
    <row r="315" spans="1:23" x14ac:dyDescent="0.3">
      <c r="A315" t="s">
        <v>32</v>
      </c>
      <c r="B315">
        <v>2021</v>
      </c>
      <c r="C315" t="s">
        <v>42</v>
      </c>
      <c r="D315">
        <f>'All_India_Index_Upto_April23 (1'!D315+'All_India_Index_Upto_April23 (1'!G315+'All_India_Index_Upto_April23 (1'!H315+'All_India_Index_Upto_April23 (1'!I315+'All_India_Index_Upto_April23 (1'!J315+'All_India_Index_Upto_April23 (1'!K315+'All_India_Index_Upto_April23 (1'!L315+'All_India_Index_Upto_April23 (1'!M315+'All_India_Index_Upto_April23 (1'!N315+'All_India_Index_Upto_April23 (1'!O315+'All_India_Index_Upto_April23 (1'!P315</f>
        <v>1817.0000000000002</v>
      </c>
      <c r="E315">
        <f>'All_India_Index_Upto_April23 (1'!E315+'All_India_Index_Upto_April23 (1'!F315</f>
        <v>381.4</v>
      </c>
      <c r="F315">
        <v>197</v>
      </c>
      <c r="G315">
        <f>'All_India_Index_Upto_April23 (1'!R315+'All_India_Index_Upto_April23 (1'!S315+'All_India_Index_Upto_April23 (1'!T315</f>
        <v>463.50000000000006</v>
      </c>
      <c r="H315">
        <f>'All_India_Index_Upto_April23 (1'!U315+'All_India_Index_Upto_April23 (1'!W315</f>
        <v>317.89999999999998</v>
      </c>
      <c r="I315">
        <v>162.19999999999999</v>
      </c>
      <c r="J315">
        <v>163.5</v>
      </c>
      <c r="K315">
        <v>152.19999999999999</v>
      </c>
      <c r="L315">
        <f>'All_India_Index_Upto_April23 (1'!Z315+'All_India_Index_Upto_April23 (1'!AA315+'All_India_Index_Upto_April23 (1'!AB315+'All_India_Index_Upto_April23 (1'!AC315+'All_India_Index_Upto_April23 (1'!AD315</f>
        <v>797.30000000000007</v>
      </c>
      <c r="M315">
        <f t="shared" si="44"/>
        <v>4452</v>
      </c>
      <c r="N315">
        <f t="shared" si="45"/>
        <v>40.813117699910158</v>
      </c>
      <c r="O315">
        <f t="shared" si="46"/>
        <v>8.5669362084456413</v>
      </c>
      <c r="P315">
        <f t="shared" si="47"/>
        <v>4.4249775381850851</v>
      </c>
      <c r="Q315">
        <f t="shared" si="48"/>
        <v>10.411051212938007</v>
      </c>
      <c r="R315">
        <f t="shared" si="49"/>
        <v>7.1406109613656774</v>
      </c>
      <c r="S315">
        <f t="shared" si="50"/>
        <v>3.6433063791554359</v>
      </c>
      <c r="T315">
        <f t="shared" si="51"/>
        <v>3.6725067385444747</v>
      </c>
      <c r="U315">
        <f t="shared" si="52"/>
        <v>3.4186882300089843</v>
      </c>
      <c r="V315">
        <f t="shared" si="53"/>
        <v>17.908805031446544</v>
      </c>
      <c r="W315">
        <f t="shared" si="54"/>
        <v>100</v>
      </c>
    </row>
    <row r="316" spans="1:23" x14ac:dyDescent="0.3">
      <c r="A316" t="s">
        <v>33</v>
      </c>
      <c r="B316">
        <v>2021</v>
      </c>
      <c r="C316" t="s">
        <v>42</v>
      </c>
      <c r="D316">
        <f>'All_India_Index_Upto_April23 (1'!D316+'All_India_Index_Upto_April23 (1'!G316+'All_India_Index_Upto_April23 (1'!H316+'All_India_Index_Upto_April23 (1'!I316+'All_India_Index_Upto_April23 (1'!J316+'All_India_Index_Upto_April23 (1'!K316+'All_India_Index_Upto_April23 (1'!L316+'All_India_Index_Upto_April23 (1'!M316+'All_India_Index_Upto_April23 (1'!N316+'All_India_Index_Upto_April23 (1'!O316+'All_India_Index_Upto_April23 (1'!P316</f>
        <v>1799.7000000000003</v>
      </c>
      <c r="E316">
        <f>'All_India_Index_Upto_April23 (1'!E316+'All_India_Index_Upto_April23 (1'!F316</f>
        <v>375.79999999999995</v>
      </c>
      <c r="F316">
        <v>192.7</v>
      </c>
      <c r="G316">
        <f>'All_India_Index_Upto_April23 (1'!R316+'All_India_Index_Upto_April23 (1'!S316+'All_India_Index_Upto_April23 (1'!T316</f>
        <v>486.3</v>
      </c>
      <c r="H316">
        <f>'All_India_Index_Upto_April23 (1'!U316+'All_India_Index_Upto_April23 (1'!W316</f>
        <v>322</v>
      </c>
      <c r="I316">
        <v>164.2</v>
      </c>
      <c r="J316">
        <v>169.1</v>
      </c>
      <c r="K316">
        <v>155.69999999999999</v>
      </c>
      <c r="L316">
        <f>'All_India_Index_Upto_April23 (1'!Z316+'All_India_Index_Upto_April23 (1'!AA316+'All_India_Index_Upto_April23 (1'!AB316+'All_India_Index_Upto_April23 (1'!AC316+'All_India_Index_Upto_April23 (1'!AD316</f>
        <v>809.8</v>
      </c>
      <c r="M316">
        <f t="shared" si="44"/>
        <v>4475.2999999999993</v>
      </c>
      <c r="N316">
        <f t="shared" si="45"/>
        <v>40.214063861640575</v>
      </c>
      <c r="O316">
        <f t="shared" si="46"/>
        <v>8.3972024221839892</v>
      </c>
      <c r="P316">
        <f t="shared" si="47"/>
        <v>4.3058565906196238</v>
      </c>
      <c r="Q316">
        <f t="shared" si="48"/>
        <v>10.866310638392958</v>
      </c>
      <c r="R316">
        <f t="shared" si="49"/>
        <v>7.1950483766451425</v>
      </c>
      <c r="S316">
        <f t="shared" si="50"/>
        <v>3.6690277746743236</v>
      </c>
      <c r="T316">
        <f t="shared" si="51"/>
        <v>3.778517641275446</v>
      </c>
      <c r="U316">
        <f t="shared" si="52"/>
        <v>3.4790963734274802</v>
      </c>
      <c r="V316">
        <f t="shared" si="53"/>
        <v>18.094876321140486</v>
      </c>
      <c r="W316">
        <f t="shared" si="54"/>
        <v>100.00000000000003</v>
      </c>
    </row>
    <row r="317" spans="1:23" x14ac:dyDescent="0.3">
      <c r="A317" t="s">
        <v>30</v>
      </c>
      <c r="B317">
        <v>2021</v>
      </c>
      <c r="C317" t="s">
        <v>44</v>
      </c>
      <c r="D317">
        <f>'All_India_Index_Upto_April23 (1'!D317+'All_India_Index_Upto_April23 (1'!G317+'All_India_Index_Upto_April23 (1'!H317+'All_India_Index_Upto_April23 (1'!I317+'All_India_Index_Upto_April23 (1'!J317+'All_India_Index_Upto_April23 (1'!K317+'All_India_Index_Upto_April23 (1'!L317+'All_India_Index_Upto_April23 (1'!M317+'All_India_Index_Upto_April23 (1'!N317+'All_India_Index_Upto_April23 (1'!O317+'All_India_Index_Upto_April23 (1'!P317</f>
        <v>1810.6999999999996</v>
      </c>
      <c r="E317">
        <f>'All_India_Index_Upto_April23 (1'!E317+'All_India_Index_Upto_April23 (1'!F317</f>
        <v>371.3</v>
      </c>
      <c r="F317">
        <v>191.4</v>
      </c>
      <c r="G317">
        <f>'All_India_Index_Upto_April23 (1'!R317+'All_India_Index_Upto_April23 (1'!S317+'All_India_Index_Upto_April23 (1'!T317</f>
        <v>506.2</v>
      </c>
      <c r="H317">
        <f>'All_India_Index_Upto_April23 (1'!U317+'All_India_Index_Upto_April23 (1'!W317</f>
        <v>162.9</v>
      </c>
      <c r="I317">
        <v>165.3</v>
      </c>
      <c r="J317">
        <v>173.4</v>
      </c>
      <c r="K317">
        <v>158.9</v>
      </c>
      <c r="L317">
        <f>'All_India_Index_Upto_April23 (1'!Z317+'All_India_Index_Upto_April23 (1'!AA317+'All_India_Index_Upto_April23 (1'!AB317+'All_India_Index_Upto_April23 (1'!AC317+'All_India_Index_Upto_April23 (1'!AD317</f>
        <v>828.30000000000007</v>
      </c>
      <c r="M317">
        <f t="shared" si="44"/>
        <v>4368.3999999999996</v>
      </c>
      <c r="N317">
        <f t="shared" si="45"/>
        <v>41.449958794982138</v>
      </c>
      <c r="O317">
        <f t="shared" si="46"/>
        <v>8.4996795165277916</v>
      </c>
      <c r="P317">
        <f t="shared" si="47"/>
        <v>4.3814668986356571</v>
      </c>
      <c r="Q317">
        <f t="shared" si="48"/>
        <v>11.587766688032232</v>
      </c>
      <c r="R317">
        <f t="shared" si="49"/>
        <v>3.7290541159234505</v>
      </c>
      <c r="S317">
        <f t="shared" si="50"/>
        <v>3.7839941397307943</v>
      </c>
      <c r="T317">
        <f t="shared" si="51"/>
        <v>3.969416720080579</v>
      </c>
      <c r="U317">
        <f t="shared" si="52"/>
        <v>3.6374874095778784</v>
      </c>
      <c r="V317">
        <f t="shared" si="53"/>
        <v>18.96117571650948</v>
      </c>
      <c r="W317">
        <f t="shared" si="54"/>
        <v>100</v>
      </c>
    </row>
    <row r="318" spans="1:23" x14ac:dyDescent="0.3">
      <c r="A318" t="s">
        <v>32</v>
      </c>
      <c r="B318">
        <v>2021</v>
      </c>
      <c r="C318" t="s">
        <v>44</v>
      </c>
      <c r="D318">
        <f>'All_India_Index_Upto_April23 (1'!D318+'All_India_Index_Upto_April23 (1'!G318+'All_India_Index_Upto_April23 (1'!H318+'All_India_Index_Upto_April23 (1'!I318+'All_India_Index_Upto_April23 (1'!J318+'All_India_Index_Upto_April23 (1'!K318+'All_India_Index_Upto_April23 (1'!L318+'All_India_Index_Upto_April23 (1'!M318+'All_India_Index_Upto_April23 (1'!N318+'All_India_Index_Upto_April23 (1'!O318+'All_India_Index_Upto_April23 (1'!P318</f>
        <v>1837.6</v>
      </c>
      <c r="E318">
        <f>'All_India_Index_Upto_April23 (1'!E318+'All_India_Index_Upto_April23 (1'!F318</f>
        <v>380.3</v>
      </c>
      <c r="F318">
        <v>197</v>
      </c>
      <c r="G318">
        <f>'All_India_Index_Upto_April23 (1'!R318+'All_India_Index_Upto_April23 (1'!S318+'All_India_Index_Upto_April23 (1'!T318</f>
        <v>467.3</v>
      </c>
      <c r="H318">
        <f>'All_India_Index_Upto_April23 (1'!U318+'All_India_Index_Upto_April23 (1'!W318</f>
        <v>319.39999999999998</v>
      </c>
      <c r="I318">
        <v>161.6</v>
      </c>
      <c r="J318">
        <v>164.2</v>
      </c>
      <c r="K318">
        <v>151.19999999999999</v>
      </c>
      <c r="L318">
        <f>'All_India_Index_Upto_April23 (1'!Z318+'All_India_Index_Upto_April23 (1'!AA318+'All_India_Index_Upto_April23 (1'!AB318+'All_India_Index_Upto_April23 (1'!AC318+'All_India_Index_Upto_April23 (1'!AD318</f>
        <v>802.2</v>
      </c>
      <c r="M318">
        <f t="shared" si="44"/>
        <v>4480.8</v>
      </c>
      <c r="N318">
        <f t="shared" si="45"/>
        <v>41.010533833244061</v>
      </c>
      <c r="O318">
        <f t="shared" si="46"/>
        <v>8.4873236921978226</v>
      </c>
      <c r="P318">
        <f t="shared" si="47"/>
        <v>4.3965363327977149</v>
      </c>
      <c r="Q318">
        <f t="shared" si="48"/>
        <v>10.428941260489198</v>
      </c>
      <c r="R318">
        <f t="shared" si="49"/>
        <v>7.1281913943938573</v>
      </c>
      <c r="S318">
        <f t="shared" si="50"/>
        <v>3.6064988394929478</v>
      </c>
      <c r="T318">
        <f t="shared" si="51"/>
        <v>3.6645241921085514</v>
      </c>
      <c r="U318">
        <f t="shared" si="52"/>
        <v>3.3743974290305299</v>
      </c>
      <c r="V318">
        <f t="shared" si="53"/>
        <v>17.903053026245313</v>
      </c>
      <c r="W318">
        <f t="shared" si="54"/>
        <v>100</v>
      </c>
    </row>
    <row r="319" spans="1:23" x14ac:dyDescent="0.3">
      <c r="A319" t="s">
        <v>33</v>
      </c>
      <c r="B319">
        <v>2021</v>
      </c>
      <c r="C319" t="s">
        <v>44</v>
      </c>
      <c r="D319">
        <f>'All_India_Index_Upto_April23 (1'!D319+'All_India_Index_Upto_April23 (1'!G319+'All_India_Index_Upto_April23 (1'!H319+'All_India_Index_Upto_April23 (1'!I319+'All_India_Index_Upto_April23 (1'!J319+'All_India_Index_Upto_April23 (1'!K319+'All_India_Index_Upto_April23 (1'!L319+'All_India_Index_Upto_April23 (1'!M319+'All_India_Index_Upto_April23 (1'!N319+'All_India_Index_Upto_April23 (1'!O319+'All_India_Index_Upto_April23 (1'!P319</f>
        <v>1819.5</v>
      </c>
      <c r="E319">
        <f>'All_India_Index_Upto_April23 (1'!E319+'All_India_Index_Upto_April23 (1'!F319</f>
        <v>374.6</v>
      </c>
      <c r="F319">
        <v>192.9</v>
      </c>
      <c r="G319">
        <f>'All_India_Index_Upto_April23 (1'!R319+'All_India_Index_Upto_April23 (1'!S319+'All_India_Index_Upto_April23 (1'!T319</f>
        <v>490.40000000000003</v>
      </c>
      <c r="H319">
        <f>'All_India_Index_Upto_April23 (1'!U319+'All_India_Index_Upto_April23 (1'!W319</f>
        <v>323.5</v>
      </c>
      <c r="I319">
        <v>163.9</v>
      </c>
      <c r="J319">
        <v>169.9</v>
      </c>
      <c r="K319">
        <v>154.80000000000001</v>
      </c>
      <c r="L319">
        <f>'All_India_Index_Upto_April23 (1'!Z319+'All_India_Index_Upto_April23 (1'!AA319+'All_India_Index_Upto_April23 (1'!AB319+'All_India_Index_Upto_April23 (1'!AC319+'All_India_Index_Upto_April23 (1'!AD319</f>
        <v>814.40000000000009</v>
      </c>
      <c r="M319">
        <f t="shared" si="44"/>
        <v>4503.9000000000005</v>
      </c>
      <c r="N319">
        <f t="shared" si="45"/>
        <v>40.398321454739225</v>
      </c>
      <c r="O319">
        <f t="shared" si="46"/>
        <v>8.3172361730944289</v>
      </c>
      <c r="P319">
        <f t="shared" si="47"/>
        <v>4.2829547725304726</v>
      </c>
      <c r="Q319">
        <f t="shared" si="48"/>
        <v>10.888341215391105</v>
      </c>
      <c r="R319">
        <f t="shared" si="49"/>
        <v>7.1826639134971906</v>
      </c>
      <c r="S319">
        <f t="shared" si="50"/>
        <v>3.6390683629743106</v>
      </c>
      <c r="T319">
        <f t="shared" si="51"/>
        <v>3.7722862408135169</v>
      </c>
      <c r="U319">
        <f t="shared" si="52"/>
        <v>3.437021248251515</v>
      </c>
      <c r="V319">
        <f t="shared" si="53"/>
        <v>18.082106618708231</v>
      </c>
      <c r="W319">
        <f t="shared" si="54"/>
        <v>100</v>
      </c>
    </row>
    <row r="320" spans="1:23" x14ac:dyDescent="0.3">
      <c r="A320" t="s">
        <v>30</v>
      </c>
      <c r="B320">
        <v>2021</v>
      </c>
      <c r="C320" t="s">
        <v>45</v>
      </c>
      <c r="D320">
        <f>'All_India_Index_Upto_April23 (1'!D320+'All_India_Index_Upto_April23 (1'!G320+'All_India_Index_Upto_April23 (1'!H320+'All_India_Index_Upto_April23 (1'!I320+'All_India_Index_Upto_April23 (1'!J320+'All_India_Index_Upto_April23 (1'!K320+'All_India_Index_Upto_April23 (1'!L320+'All_India_Index_Upto_April23 (1'!M320+'All_India_Index_Upto_April23 (1'!N320+'All_India_Index_Upto_April23 (1'!O320+'All_India_Index_Upto_April23 (1'!P320</f>
        <v>1794.6999999999998</v>
      </c>
      <c r="E320">
        <f>'All_India_Index_Upto_April23 (1'!E320+'All_India_Index_Upto_April23 (1'!F320</f>
        <v>373.5</v>
      </c>
      <c r="F320">
        <v>190.8</v>
      </c>
      <c r="G320">
        <f>'All_India_Index_Upto_April23 (1'!R320+'All_India_Index_Upto_April23 (1'!S320+'All_India_Index_Upto_April23 (1'!T320</f>
        <v>510.3</v>
      </c>
      <c r="H320">
        <f>'All_India_Index_Upto_April23 (1'!U320+'All_India_Index_Upto_April23 (1'!W320</f>
        <v>163.9</v>
      </c>
      <c r="I320">
        <v>165.6</v>
      </c>
      <c r="J320">
        <v>174</v>
      </c>
      <c r="K320">
        <v>160.1</v>
      </c>
      <c r="L320">
        <f>'All_India_Index_Upto_April23 (1'!Z320+'All_India_Index_Upto_April23 (1'!AA320+'All_India_Index_Upto_April23 (1'!AB320+'All_India_Index_Upto_April23 (1'!AC320+'All_India_Index_Upto_April23 (1'!AD320</f>
        <v>830</v>
      </c>
      <c r="M320">
        <f t="shared" si="44"/>
        <v>4362.8999999999996</v>
      </c>
      <c r="N320">
        <f t="shared" si="45"/>
        <v>41.135483279470073</v>
      </c>
      <c r="O320">
        <f t="shared" si="46"/>
        <v>8.5608196383139656</v>
      </c>
      <c r="P320">
        <f t="shared" si="47"/>
        <v>4.3732379839097852</v>
      </c>
      <c r="Q320">
        <f t="shared" si="48"/>
        <v>11.696348758853057</v>
      </c>
      <c r="R320">
        <f t="shared" si="49"/>
        <v>3.7566756056751247</v>
      </c>
      <c r="S320">
        <f t="shared" si="50"/>
        <v>3.7956405143367946</v>
      </c>
      <c r="T320">
        <f t="shared" si="51"/>
        <v>3.9881730041944583</v>
      </c>
      <c r="U320">
        <f t="shared" si="52"/>
        <v>3.6695775745490384</v>
      </c>
      <c r="V320">
        <f t="shared" si="53"/>
        <v>19.024043640697702</v>
      </c>
      <c r="W320">
        <f t="shared" si="54"/>
        <v>100.00000000000001</v>
      </c>
    </row>
    <row r="321" spans="1:23" x14ac:dyDescent="0.3">
      <c r="A321" t="s">
        <v>32</v>
      </c>
      <c r="B321">
        <v>2021</v>
      </c>
      <c r="C321" t="s">
        <v>45</v>
      </c>
      <c r="D321">
        <f>'All_India_Index_Upto_April23 (1'!D321+'All_India_Index_Upto_April23 (1'!G321+'All_India_Index_Upto_April23 (1'!H321+'All_India_Index_Upto_April23 (1'!I321+'All_India_Index_Upto_April23 (1'!J321+'All_India_Index_Upto_April23 (1'!K321+'All_India_Index_Upto_April23 (1'!L321+'All_India_Index_Upto_April23 (1'!M321+'All_India_Index_Upto_April23 (1'!N321+'All_India_Index_Upto_April23 (1'!O321+'All_India_Index_Upto_April23 (1'!P321</f>
        <v>1824.1000000000004</v>
      </c>
      <c r="E321">
        <f>'All_India_Index_Upto_April23 (1'!E321+'All_India_Index_Upto_April23 (1'!F321</f>
        <v>382.2</v>
      </c>
      <c r="F321">
        <v>196.8</v>
      </c>
      <c r="G321">
        <f>'All_India_Index_Upto_April23 (1'!R321+'All_India_Index_Upto_April23 (1'!S321+'All_India_Index_Upto_April23 (1'!T321</f>
        <v>470.7</v>
      </c>
      <c r="H321">
        <f>'All_India_Index_Upto_April23 (1'!U321+'All_India_Index_Upto_April23 (1'!W321</f>
        <v>319.39999999999998</v>
      </c>
      <c r="I321">
        <v>161.69999999999999</v>
      </c>
      <c r="J321">
        <v>165.1</v>
      </c>
      <c r="K321">
        <v>151.80000000000001</v>
      </c>
      <c r="L321">
        <f>'All_India_Index_Upto_April23 (1'!Z321+'All_India_Index_Upto_April23 (1'!AA321+'All_India_Index_Upto_April23 (1'!AB321+'All_India_Index_Upto_April23 (1'!AC321+'All_India_Index_Upto_April23 (1'!AD321</f>
        <v>803.60000000000014</v>
      </c>
      <c r="M321">
        <f t="shared" si="44"/>
        <v>4475.4000000000005</v>
      </c>
      <c r="N321">
        <f t="shared" si="45"/>
        <v>40.758367967109088</v>
      </c>
      <c r="O321">
        <f t="shared" si="46"/>
        <v>8.5400187692720184</v>
      </c>
      <c r="P321">
        <f t="shared" si="47"/>
        <v>4.3973723019171471</v>
      </c>
      <c r="Q321">
        <f t="shared" si="48"/>
        <v>10.517495642847566</v>
      </c>
      <c r="R321">
        <f t="shared" si="49"/>
        <v>7.1367922420342307</v>
      </c>
      <c r="S321">
        <f t="shared" si="50"/>
        <v>3.6130848639227775</v>
      </c>
      <c r="T321">
        <f t="shared" si="51"/>
        <v>3.6890557268624029</v>
      </c>
      <c r="U321">
        <f t="shared" si="52"/>
        <v>3.3918755865397507</v>
      </c>
      <c r="V321">
        <f t="shared" si="53"/>
        <v>17.955936899495018</v>
      </c>
      <c r="W321">
        <f t="shared" si="54"/>
        <v>100</v>
      </c>
    </row>
    <row r="322" spans="1:23" x14ac:dyDescent="0.3">
      <c r="A322" t="s">
        <v>33</v>
      </c>
      <c r="B322">
        <v>2021</v>
      </c>
      <c r="C322" t="s">
        <v>45</v>
      </c>
      <c r="D322">
        <f>'All_India_Index_Upto_April23 (1'!D322+'All_India_Index_Upto_April23 (1'!G322+'All_India_Index_Upto_April23 (1'!H322+'All_India_Index_Upto_April23 (1'!I322+'All_India_Index_Upto_April23 (1'!J322+'All_India_Index_Upto_April23 (1'!K322+'All_India_Index_Upto_April23 (1'!L322+'All_India_Index_Upto_April23 (1'!M322+'All_India_Index_Upto_April23 (1'!N322+'All_India_Index_Upto_April23 (1'!O322+'All_India_Index_Upto_April23 (1'!P322</f>
        <v>1804.2000000000003</v>
      </c>
      <c r="E322">
        <f>'All_India_Index_Upto_April23 (1'!E322+'All_India_Index_Upto_April23 (1'!F322</f>
        <v>376.70000000000005</v>
      </c>
      <c r="F322">
        <v>192.4</v>
      </c>
      <c r="G322">
        <f>'All_India_Index_Upto_April23 (1'!R322+'All_India_Index_Upto_April23 (1'!S322+'All_India_Index_Upto_April23 (1'!T322</f>
        <v>494.2</v>
      </c>
      <c r="H322">
        <f>'All_India_Index_Upto_April23 (1'!U322+'All_India_Index_Upto_April23 (1'!W322</f>
        <v>323.60000000000002</v>
      </c>
      <c r="I322">
        <v>164.1</v>
      </c>
      <c r="J322">
        <v>170.6</v>
      </c>
      <c r="K322">
        <v>155.69999999999999</v>
      </c>
      <c r="L322">
        <f>'All_India_Index_Upto_April23 (1'!Z322+'All_India_Index_Upto_April23 (1'!AA322+'All_India_Index_Upto_April23 (1'!AB322+'All_India_Index_Upto_April23 (1'!AC322+'All_India_Index_Upto_April23 (1'!AD322</f>
        <v>815.8</v>
      </c>
      <c r="M322">
        <f t="shared" si="44"/>
        <v>4497.3</v>
      </c>
      <c r="N322">
        <f t="shared" si="45"/>
        <v>40.117403775598696</v>
      </c>
      <c r="O322">
        <f t="shared" si="46"/>
        <v>8.3761367931870243</v>
      </c>
      <c r="P322">
        <f t="shared" si="47"/>
        <v>4.2781224290129636</v>
      </c>
      <c r="Q322">
        <f t="shared" si="48"/>
        <v>10.98881551152914</v>
      </c>
      <c r="R322">
        <f t="shared" si="49"/>
        <v>7.1954283681319913</v>
      </c>
      <c r="S322">
        <f t="shared" si="50"/>
        <v>3.6488559802548193</v>
      </c>
      <c r="T322">
        <f t="shared" si="51"/>
        <v>3.7933871433971493</v>
      </c>
      <c r="U322">
        <f t="shared" si="52"/>
        <v>3.4620772463478082</v>
      </c>
      <c r="V322">
        <f t="shared" si="53"/>
        <v>18.139772752540413</v>
      </c>
      <c r="W322">
        <f t="shared" si="54"/>
        <v>100</v>
      </c>
    </row>
    <row r="323" spans="1:23" x14ac:dyDescent="0.3">
      <c r="A323" t="s">
        <v>30</v>
      </c>
      <c r="B323">
        <v>2022</v>
      </c>
      <c r="C323" t="s">
        <v>31</v>
      </c>
      <c r="D323">
        <f>'All_India_Index_Upto_April23 (1'!D323+'All_India_Index_Upto_April23 (1'!G323+'All_India_Index_Upto_April23 (1'!H323+'All_India_Index_Upto_April23 (1'!I323+'All_India_Index_Upto_April23 (1'!J323+'All_India_Index_Upto_April23 (1'!K323+'All_India_Index_Upto_April23 (1'!L323+'All_India_Index_Upto_April23 (1'!M323+'All_India_Index_Upto_April23 (1'!N323+'All_India_Index_Upto_April23 (1'!O323+'All_India_Index_Upto_April23 (1'!P323</f>
        <v>1778.0999999999997</v>
      </c>
      <c r="E323">
        <f>'All_India_Index_Upto_April23 (1'!E323+'All_India_Index_Upto_April23 (1'!F323</f>
        <v>374.9</v>
      </c>
      <c r="F323">
        <v>190.7</v>
      </c>
      <c r="G323">
        <f>'All_India_Index_Upto_April23 (1'!R323+'All_India_Index_Upto_April23 (1'!S323+'All_India_Index_Upto_April23 (1'!T323</f>
        <v>515.20000000000005</v>
      </c>
      <c r="H323">
        <f>'All_India_Index_Upto_April23 (1'!U323+'All_India_Index_Upto_April23 (1'!W323</f>
        <v>164.9</v>
      </c>
      <c r="I323">
        <v>165.8</v>
      </c>
      <c r="J323">
        <v>174.7</v>
      </c>
      <c r="K323">
        <v>160.80000000000001</v>
      </c>
      <c r="L323">
        <f>'All_India_Index_Upto_April23 (1'!Z323+'All_India_Index_Upto_April23 (1'!AA323+'All_India_Index_Upto_April23 (1'!AB323+'All_India_Index_Upto_April23 (1'!AC323+'All_India_Index_Upto_April23 (1'!AD323</f>
        <v>831</v>
      </c>
      <c r="M323">
        <f t="shared" ref="M323:M373" si="55">D323+E323+F323+G323+H323+I323+J323+K323+L323</f>
        <v>4356.1000000000004</v>
      </c>
      <c r="N323">
        <f t="shared" ref="N323:N373" si="56">D323/M323*100</f>
        <v>40.818622162025655</v>
      </c>
      <c r="O323">
        <f t="shared" ref="O323:O373" si="57">E323/M323*100</f>
        <v>8.6063221689125591</v>
      </c>
      <c r="P323">
        <f t="shared" ref="P323:P373" si="58">F323/M323*100</f>
        <v>4.3777691053924368</v>
      </c>
      <c r="Q323">
        <f t="shared" ref="Q323:Q373" si="59">G323/M323*100</f>
        <v>11.827093041941186</v>
      </c>
      <c r="R323">
        <f t="shared" ref="R323:R373" si="60">H323/M323*100</f>
        <v>3.7854962007300106</v>
      </c>
      <c r="S323">
        <f t="shared" ref="S323:S373" si="61">I323/M323*100</f>
        <v>3.8061568834507931</v>
      </c>
      <c r="T323">
        <f t="shared" ref="T323:T373" si="62">J323/M323*100</f>
        <v>4.0104680792451957</v>
      </c>
      <c r="U323">
        <f t="shared" ref="U323:U373" si="63">K323/M323*100</f>
        <v>3.6913753127797801</v>
      </c>
      <c r="V323">
        <f t="shared" ref="V323:V373" si="64">L323/M323*100</f>
        <v>19.076697045522369</v>
      </c>
      <c r="W323">
        <f t="shared" ref="W323:W373" si="65">N323+O323+P323+Q323+R323+S323+T323+U323+V323</f>
        <v>100</v>
      </c>
    </row>
    <row r="324" spans="1:23" x14ac:dyDescent="0.3">
      <c r="A324" t="s">
        <v>32</v>
      </c>
      <c r="B324">
        <v>2022</v>
      </c>
      <c r="C324" t="s">
        <v>31</v>
      </c>
      <c r="D324">
        <f>'All_India_Index_Upto_April23 (1'!D324+'All_India_Index_Upto_April23 (1'!G324+'All_India_Index_Upto_April23 (1'!H324+'All_India_Index_Upto_April23 (1'!I324+'All_India_Index_Upto_April23 (1'!J324+'All_India_Index_Upto_April23 (1'!K324+'All_India_Index_Upto_April23 (1'!L324+'All_India_Index_Upto_April23 (1'!M324+'All_India_Index_Upto_April23 (1'!N324+'All_India_Index_Upto_April23 (1'!O324+'All_India_Index_Upto_April23 (1'!P324</f>
        <v>1804.4999999999998</v>
      </c>
      <c r="E324">
        <f>'All_India_Index_Upto_April23 (1'!E324+'All_India_Index_Upto_April23 (1'!F324</f>
        <v>382.2</v>
      </c>
      <c r="F324">
        <v>196.4</v>
      </c>
      <c r="G324">
        <f>'All_India_Index_Upto_April23 (1'!R324+'All_India_Index_Upto_April23 (1'!S324+'All_India_Index_Upto_April23 (1'!T324</f>
        <v>475.4</v>
      </c>
      <c r="H324">
        <f>'All_India_Index_Upto_April23 (1'!U324+'All_India_Index_Upto_April23 (1'!W324</f>
        <v>321.3</v>
      </c>
      <c r="I324">
        <v>161.6</v>
      </c>
      <c r="J324">
        <v>166.1</v>
      </c>
      <c r="K324">
        <v>152.69999999999999</v>
      </c>
      <c r="L324">
        <f>'All_India_Index_Upto_April23 (1'!Z324+'All_India_Index_Upto_April23 (1'!AA324+'All_India_Index_Upto_April23 (1'!AB324+'All_India_Index_Upto_April23 (1'!AC324+'All_India_Index_Upto_April23 (1'!AD324</f>
        <v>805.8</v>
      </c>
      <c r="M324">
        <f t="shared" si="55"/>
        <v>4466</v>
      </c>
      <c r="N324">
        <f t="shared" si="56"/>
        <v>40.40528437080161</v>
      </c>
      <c r="O324">
        <f t="shared" si="57"/>
        <v>8.5579937304075226</v>
      </c>
      <c r="P324">
        <f t="shared" si="58"/>
        <v>4.3976712942230183</v>
      </c>
      <c r="Q324">
        <f t="shared" si="59"/>
        <v>10.644872369010299</v>
      </c>
      <c r="R324">
        <f t="shared" si="60"/>
        <v>7.1943573667711602</v>
      </c>
      <c r="S324">
        <f t="shared" si="61"/>
        <v>3.6184505150022388</v>
      </c>
      <c r="T324">
        <f t="shared" si="62"/>
        <v>3.7192118226600983</v>
      </c>
      <c r="U324">
        <f t="shared" si="63"/>
        <v>3.4191670398566951</v>
      </c>
      <c r="V324">
        <f t="shared" si="64"/>
        <v>18.042991491267351</v>
      </c>
      <c r="W324">
        <f t="shared" si="65"/>
        <v>99.999999999999972</v>
      </c>
    </row>
    <row r="325" spans="1:23" x14ac:dyDescent="0.3">
      <c r="A325" t="s">
        <v>33</v>
      </c>
      <c r="B325">
        <v>2022</v>
      </c>
      <c r="C325" t="s">
        <v>31</v>
      </c>
      <c r="D325">
        <f>'All_India_Index_Upto_April23 (1'!D325+'All_India_Index_Upto_April23 (1'!G325+'All_India_Index_Upto_April23 (1'!H325+'All_India_Index_Upto_April23 (1'!I325+'All_India_Index_Upto_April23 (1'!J325+'All_India_Index_Upto_April23 (1'!K325+'All_India_Index_Upto_April23 (1'!L325+'All_India_Index_Upto_April23 (1'!M325+'All_India_Index_Upto_April23 (1'!N325+'All_India_Index_Upto_April23 (1'!O325+'All_India_Index_Upto_April23 (1'!P325</f>
        <v>1786.6999999999998</v>
      </c>
      <c r="E325">
        <f>'All_India_Index_Upto_April23 (1'!E325+'All_India_Index_Upto_April23 (1'!F325</f>
        <v>377.5</v>
      </c>
      <c r="F325">
        <v>192.2</v>
      </c>
      <c r="G325">
        <f>'All_India_Index_Upto_April23 (1'!R325+'All_India_Index_Upto_April23 (1'!S325+'All_India_Index_Upto_April23 (1'!T325</f>
        <v>499.1</v>
      </c>
      <c r="H325">
        <f>'All_India_Index_Upto_April23 (1'!U325+'All_India_Index_Upto_April23 (1'!W325</f>
        <v>325.60000000000002</v>
      </c>
      <c r="I325">
        <v>164.2</v>
      </c>
      <c r="J325">
        <v>171.4</v>
      </c>
      <c r="K325">
        <v>156.5</v>
      </c>
      <c r="L325">
        <f>'All_India_Index_Upto_April23 (1'!Z325+'All_India_Index_Upto_April23 (1'!AA325+'All_India_Index_Upto_April23 (1'!AB325+'All_India_Index_Upto_April23 (1'!AC325+'All_India_Index_Upto_April23 (1'!AD325</f>
        <v>817.3</v>
      </c>
      <c r="M325">
        <f t="shared" si="55"/>
        <v>4490.4999999999991</v>
      </c>
      <c r="N325">
        <f t="shared" si="56"/>
        <v>39.788442267008136</v>
      </c>
      <c r="O325">
        <f t="shared" si="57"/>
        <v>8.4066362320454306</v>
      </c>
      <c r="P325">
        <f t="shared" si="58"/>
        <v>4.2801469769513423</v>
      </c>
      <c r="Q325">
        <f t="shared" si="59"/>
        <v>11.114575214341391</v>
      </c>
      <c r="R325">
        <f t="shared" si="60"/>
        <v>7.2508629328582579</v>
      </c>
      <c r="S325">
        <f t="shared" si="61"/>
        <v>3.6566083955016149</v>
      </c>
      <c r="T325">
        <f t="shared" si="62"/>
        <v>3.8169468878744026</v>
      </c>
      <c r="U325">
        <f t="shared" si="63"/>
        <v>3.4851352856029401</v>
      </c>
      <c r="V325">
        <f t="shared" si="64"/>
        <v>18.200645807816503</v>
      </c>
      <c r="W325">
        <f t="shared" si="65"/>
        <v>100.00000000000003</v>
      </c>
    </row>
    <row r="326" spans="1:23" x14ac:dyDescent="0.3">
      <c r="A326" t="s">
        <v>30</v>
      </c>
      <c r="B326">
        <v>2022</v>
      </c>
      <c r="C326" t="s">
        <v>34</v>
      </c>
      <c r="D326">
        <f>'All_India_Index_Upto_April23 (1'!D326+'All_India_Index_Upto_April23 (1'!G326+'All_India_Index_Upto_April23 (1'!H326+'All_India_Index_Upto_April23 (1'!I326+'All_India_Index_Upto_April23 (1'!J326+'All_India_Index_Upto_April23 (1'!K326+'All_India_Index_Upto_April23 (1'!L326+'All_India_Index_Upto_April23 (1'!M326+'All_India_Index_Upto_April23 (1'!N326+'All_India_Index_Upto_April23 (1'!O326+'All_India_Index_Upto_April23 (1'!P326</f>
        <v>1776.8000000000002</v>
      </c>
      <c r="E326">
        <f>'All_India_Index_Upto_April23 (1'!E326+'All_India_Index_Upto_April23 (1'!F326</f>
        <v>373.6</v>
      </c>
      <c r="F326">
        <v>191.5</v>
      </c>
      <c r="G326">
        <f>'All_India_Index_Upto_April23 (1'!R326+'All_India_Index_Upto_April23 (1'!S326+'All_India_Index_Upto_April23 (1'!T326</f>
        <v>518.79999999999995</v>
      </c>
      <c r="H326">
        <f>'All_India_Index_Upto_April23 (1'!U326+'All_India_Index_Upto_April23 (1'!W326</f>
        <v>165.7</v>
      </c>
      <c r="I326">
        <v>167.4</v>
      </c>
      <c r="J326">
        <v>175.3</v>
      </c>
      <c r="K326">
        <v>161.19999999999999</v>
      </c>
      <c r="L326">
        <f>'All_India_Index_Upto_April23 (1'!Z326+'All_India_Index_Upto_April23 (1'!AA326+'All_India_Index_Upto_April23 (1'!AB326+'All_India_Index_Upto_April23 (1'!AC326+'All_India_Index_Upto_April23 (1'!AD326</f>
        <v>834.3</v>
      </c>
      <c r="M326">
        <f t="shared" si="55"/>
        <v>4364.5999999999995</v>
      </c>
      <c r="N326">
        <f t="shared" si="56"/>
        <v>40.709343353342817</v>
      </c>
      <c r="O326">
        <f t="shared" si="57"/>
        <v>8.5597763827154854</v>
      </c>
      <c r="P326">
        <f t="shared" si="58"/>
        <v>4.3875727443522896</v>
      </c>
      <c r="Q326">
        <f t="shared" si="59"/>
        <v>11.886541722036384</v>
      </c>
      <c r="R326">
        <f t="shared" si="60"/>
        <v>3.7964532832332862</v>
      </c>
      <c r="S326">
        <f t="shared" si="61"/>
        <v>3.8354030151674845</v>
      </c>
      <c r="T326">
        <f t="shared" si="62"/>
        <v>4.0164047106264045</v>
      </c>
      <c r="U326">
        <f t="shared" si="63"/>
        <v>3.6933510516427628</v>
      </c>
      <c r="V326">
        <f t="shared" si="64"/>
        <v>19.115153736883105</v>
      </c>
      <c r="W326">
        <f t="shared" si="65"/>
        <v>100.00000000000001</v>
      </c>
    </row>
    <row r="327" spans="1:23" x14ac:dyDescent="0.3">
      <c r="A327" t="s">
        <v>32</v>
      </c>
      <c r="B327">
        <v>2022</v>
      </c>
      <c r="C327" t="s">
        <v>34</v>
      </c>
      <c r="D327">
        <f>'All_India_Index_Upto_April23 (1'!D327+'All_India_Index_Upto_April23 (1'!G327+'All_India_Index_Upto_April23 (1'!H327+'All_India_Index_Upto_April23 (1'!I327+'All_India_Index_Upto_April23 (1'!J327+'All_India_Index_Upto_April23 (1'!K327+'All_India_Index_Upto_April23 (1'!L327+'All_India_Index_Upto_April23 (1'!M327+'All_India_Index_Upto_April23 (1'!N327+'All_India_Index_Upto_April23 (1'!O327+'All_India_Index_Upto_April23 (1'!P327</f>
        <v>1801.9</v>
      </c>
      <c r="E327">
        <f>'All_India_Index_Upto_April23 (1'!E327+'All_India_Index_Upto_April23 (1'!F327</f>
        <v>381.6</v>
      </c>
      <c r="F327">
        <v>196.5</v>
      </c>
      <c r="G327">
        <f>'All_India_Index_Upto_April23 (1'!R327+'All_India_Index_Upto_April23 (1'!S327+'All_India_Index_Upto_April23 (1'!T327</f>
        <v>479.5</v>
      </c>
      <c r="H327">
        <f>'All_India_Index_Upto_April23 (1'!U327+'All_India_Index_Upto_April23 (1'!W327</f>
        <v>322.89999999999998</v>
      </c>
      <c r="I327">
        <v>163</v>
      </c>
      <c r="J327">
        <v>167.2</v>
      </c>
      <c r="K327">
        <v>153.1</v>
      </c>
      <c r="L327">
        <f>'All_India_Index_Upto_April23 (1'!Z327+'All_India_Index_Upto_April23 (1'!AA327+'All_India_Index_Upto_April23 (1'!AB327+'All_India_Index_Upto_April23 (1'!AC327+'All_India_Index_Upto_April23 (1'!AD327</f>
        <v>810.6</v>
      </c>
      <c r="M327">
        <f t="shared" si="55"/>
        <v>4476.3</v>
      </c>
      <c r="N327">
        <f t="shared" si="56"/>
        <v>40.254227822085205</v>
      </c>
      <c r="O327">
        <f t="shared" si="57"/>
        <v>8.5248977950539508</v>
      </c>
      <c r="P327">
        <f t="shared" si="58"/>
        <v>4.3897862073587559</v>
      </c>
      <c r="Q327">
        <f t="shared" si="59"/>
        <v>10.711971941112079</v>
      </c>
      <c r="R327">
        <f t="shared" si="60"/>
        <v>7.2135469025757875</v>
      </c>
      <c r="S327">
        <f t="shared" si="61"/>
        <v>3.6414002636105711</v>
      </c>
      <c r="T327">
        <f t="shared" si="62"/>
        <v>3.735227755065567</v>
      </c>
      <c r="U327">
        <f t="shared" si="63"/>
        <v>3.4202354623237938</v>
      </c>
      <c r="V327">
        <f t="shared" si="64"/>
        <v>18.108705850814289</v>
      </c>
      <c r="W327">
        <f t="shared" si="65"/>
        <v>100</v>
      </c>
    </row>
    <row r="328" spans="1:23" x14ac:dyDescent="0.3">
      <c r="A328" t="s">
        <v>33</v>
      </c>
      <c r="B328">
        <v>2022</v>
      </c>
      <c r="C328" t="s">
        <v>34</v>
      </c>
      <c r="D328">
        <f>'All_India_Index_Upto_April23 (1'!D328+'All_India_Index_Upto_April23 (1'!G328+'All_India_Index_Upto_April23 (1'!H328+'All_India_Index_Upto_April23 (1'!I328+'All_India_Index_Upto_April23 (1'!J328+'All_India_Index_Upto_April23 (1'!K328+'All_India_Index_Upto_April23 (1'!L328+'All_India_Index_Upto_April23 (1'!M328+'All_India_Index_Upto_April23 (1'!N328+'All_India_Index_Upto_April23 (1'!O328+'All_India_Index_Upto_April23 (1'!P328</f>
        <v>1784.8000000000002</v>
      </c>
      <c r="E328">
        <f>'All_India_Index_Upto_April23 (1'!E328+'All_India_Index_Upto_April23 (1'!F328</f>
        <v>376.4</v>
      </c>
      <c r="F328">
        <v>192.8</v>
      </c>
      <c r="G328">
        <f>'All_India_Index_Upto_April23 (1'!R328+'All_India_Index_Upto_April23 (1'!S328+'All_India_Index_Upto_April23 (1'!T328</f>
        <v>502.80000000000007</v>
      </c>
      <c r="H328">
        <f>'All_India_Index_Upto_April23 (1'!U328+'All_India_Index_Upto_April23 (1'!W328</f>
        <v>327.3</v>
      </c>
      <c r="I328">
        <v>165.7</v>
      </c>
      <c r="J328">
        <v>172.2</v>
      </c>
      <c r="K328">
        <v>156.9</v>
      </c>
      <c r="L328">
        <f>'All_India_Index_Upto_April23 (1'!Z328+'All_India_Index_Upto_April23 (1'!AA328+'All_India_Index_Upto_April23 (1'!AB328+'All_India_Index_Upto_April23 (1'!AC328+'All_India_Index_Upto_April23 (1'!AD328</f>
        <v>821.5</v>
      </c>
      <c r="M328">
        <f t="shared" si="55"/>
        <v>4500.4000000000005</v>
      </c>
      <c r="N328">
        <f t="shared" si="56"/>
        <v>39.658697004710689</v>
      </c>
      <c r="O328">
        <f t="shared" si="57"/>
        <v>8.3637010043551676</v>
      </c>
      <c r="P328">
        <f t="shared" si="58"/>
        <v>4.2840636387876625</v>
      </c>
      <c r="Q328">
        <f t="shared" si="59"/>
        <v>11.17234023642343</v>
      </c>
      <c r="R328">
        <f t="shared" si="60"/>
        <v>7.2726868722780198</v>
      </c>
      <c r="S328">
        <f t="shared" si="61"/>
        <v>3.6818949426717618</v>
      </c>
      <c r="T328">
        <f t="shared" si="62"/>
        <v>3.8263265487512217</v>
      </c>
      <c r="U328">
        <f t="shared" si="63"/>
        <v>3.4863567682872629</v>
      </c>
      <c r="V328">
        <f t="shared" si="64"/>
        <v>18.253932983734778</v>
      </c>
      <c r="W328">
        <f t="shared" si="65"/>
        <v>100</v>
      </c>
    </row>
    <row r="329" spans="1:23" x14ac:dyDescent="0.3">
      <c r="A329" t="s">
        <v>30</v>
      </c>
      <c r="B329">
        <v>2022</v>
      </c>
      <c r="C329" t="s">
        <v>35</v>
      </c>
      <c r="D329">
        <f>'All_India_Index_Upto_April23 (1'!D329+'All_India_Index_Upto_April23 (1'!G329+'All_India_Index_Upto_April23 (1'!H329+'All_India_Index_Upto_April23 (1'!I329+'All_India_Index_Upto_April23 (1'!J329+'All_India_Index_Upto_April23 (1'!K329+'All_India_Index_Upto_April23 (1'!L329+'All_India_Index_Upto_April23 (1'!M329+'All_India_Index_Upto_April23 (1'!N329+'All_India_Index_Upto_April23 (1'!O329+'All_India_Index_Upto_April23 (1'!P329</f>
        <v>1803.2</v>
      </c>
      <c r="E329">
        <f>'All_India_Index_Upto_April23 (1'!E329+'All_India_Index_Upto_April23 (1'!F329</f>
        <v>375.9</v>
      </c>
      <c r="F329">
        <v>192.3</v>
      </c>
      <c r="G329">
        <f>'All_India_Index_Upto_April23 (1'!R329+'All_India_Index_Upto_April23 (1'!S329+'All_India_Index_Upto_April23 (1'!T329</f>
        <v>523.70000000000005</v>
      </c>
      <c r="H329">
        <f>'All_India_Index_Upto_April23 (1'!U329+'All_India_Index_Upto_April23 (1'!W329</f>
        <v>166.5</v>
      </c>
      <c r="I329">
        <v>168.9</v>
      </c>
      <c r="J329">
        <v>176</v>
      </c>
      <c r="K329">
        <v>162</v>
      </c>
      <c r="L329">
        <f>'All_India_Index_Upto_April23 (1'!Z329+'All_India_Index_Upto_April23 (1'!AA329+'All_India_Index_Upto_April23 (1'!AB329+'All_India_Index_Upto_April23 (1'!AC329+'All_India_Index_Upto_April23 (1'!AD329</f>
        <v>841.60000000000014</v>
      </c>
      <c r="M329">
        <f t="shared" si="55"/>
        <v>4410.1000000000004</v>
      </c>
      <c r="N329">
        <f t="shared" si="56"/>
        <v>40.887961724223935</v>
      </c>
      <c r="O329">
        <f t="shared" si="57"/>
        <v>8.5236162445296006</v>
      </c>
      <c r="P329">
        <f t="shared" si="58"/>
        <v>4.3604453413754785</v>
      </c>
      <c r="Q329">
        <f t="shared" si="59"/>
        <v>11.875014172014241</v>
      </c>
      <c r="R329">
        <f t="shared" si="60"/>
        <v>3.7754245935466315</v>
      </c>
      <c r="S329">
        <f t="shared" si="61"/>
        <v>3.8298451282283845</v>
      </c>
      <c r="T329">
        <f t="shared" si="62"/>
        <v>3.9908392099952379</v>
      </c>
      <c r="U329">
        <f t="shared" si="63"/>
        <v>3.6733860910183442</v>
      </c>
      <c r="V329">
        <f t="shared" si="64"/>
        <v>19.083467495068142</v>
      </c>
      <c r="W329">
        <f t="shared" si="65"/>
        <v>100</v>
      </c>
    </row>
    <row r="330" spans="1:23" x14ac:dyDescent="0.3">
      <c r="A330" t="s">
        <v>32</v>
      </c>
      <c r="B330">
        <v>2022</v>
      </c>
      <c r="C330" t="s">
        <v>35</v>
      </c>
      <c r="D330">
        <f>'All_India_Index_Upto_April23 (1'!D330+'All_India_Index_Upto_April23 (1'!G330+'All_India_Index_Upto_April23 (1'!H330+'All_India_Index_Upto_April23 (1'!I330+'All_India_Index_Upto_April23 (1'!J330+'All_India_Index_Upto_April23 (1'!K330+'All_India_Index_Upto_April23 (1'!L330+'All_India_Index_Upto_April23 (1'!M330+'All_India_Index_Upto_April23 (1'!N330+'All_India_Index_Upto_April23 (1'!O330+'All_India_Index_Upto_April23 (1'!P330</f>
        <v>1812.8</v>
      </c>
      <c r="E330">
        <f>'All_India_Index_Upto_April23 (1'!E330+'All_India_Index_Upto_April23 (1'!F330</f>
        <v>383.5</v>
      </c>
      <c r="F330">
        <v>197.5</v>
      </c>
      <c r="G330">
        <f>'All_India_Index_Upto_April23 (1'!R330+'All_India_Index_Upto_April23 (1'!S330+'All_India_Index_Upto_April23 (1'!T330</f>
        <v>484.6</v>
      </c>
      <c r="H330">
        <f>'All_India_Index_Upto_April23 (1'!U330+'All_India_Index_Upto_April23 (1'!W330</f>
        <v>323.89999999999998</v>
      </c>
      <c r="I330">
        <v>164.5</v>
      </c>
      <c r="J330">
        <v>168.2</v>
      </c>
      <c r="K330">
        <v>154.19999999999999</v>
      </c>
      <c r="L330">
        <f>'All_India_Index_Upto_April23 (1'!Z330+'All_India_Index_Upto_April23 (1'!AA330+'All_India_Index_Upto_April23 (1'!AB330+'All_India_Index_Upto_April23 (1'!AC330+'All_India_Index_Upto_April23 (1'!AD330</f>
        <v>817.4</v>
      </c>
      <c r="M330">
        <f t="shared" si="55"/>
        <v>4506.5999999999995</v>
      </c>
      <c r="N330">
        <f t="shared" si="56"/>
        <v>40.225447121998847</v>
      </c>
      <c r="O330">
        <f t="shared" si="57"/>
        <v>8.5097412683619584</v>
      </c>
      <c r="P330">
        <f t="shared" si="58"/>
        <v>4.382461279013004</v>
      </c>
      <c r="Q330">
        <f t="shared" si="59"/>
        <v>10.753117649669376</v>
      </c>
      <c r="R330">
        <f t="shared" si="60"/>
        <v>7.1872364975813259</v>
      </c>
      <c r="S330">
        <f t="shared" si="61"/>
        <v>3.6502019260639957</v>
      </c>
      <c r="T330">
        <f t="shared" si="62"/>
        <v>3.7323037323037322</v>
      </c>
      <c r="U330">
        <f t="shared" si="63"/>
        <v>3.421648249234456</v>
      </c>
      <c r="V330">
        <f t="shared" si="64"/>
        <v>18.137842275773313</v>
      </c>
      <c r="W330">
        <f t="shared" si="65"/>
        <v>100</v>
      </c>
    </row>
    <row r="331" spans="1:23" x14ac:dyDescent="0.3">
      <c r="A331" t="s">
        <v>33</v>
      </c>
      <c r="B331">
        <v>2022</v>
      </c>
      <c r="C331" t="s">
        <v>35</v>
      </c>
      <c r="D331">
        <f>'All_India_Index_Upto_April23 (1'!D331+'All_India_Index_Upto_April23 (1'!G331+'All_India_Index_Upto_April23 (1'!H331+'All_India_Index_Upto_April23 (1'!I331+'All_India_Index_Upto_April23 (1'!J331+'All_India_Index_Upto_April23 (1'!K331+'All_India_Index_Upto_April23 (1'!L331+'All_India_Index_Upto_April23 (1'!M331+'All_India_Index_Upto_April23 (1'!N331+'All_India_Index_Upto_April23 (1'!O331+'All_India_Index_Upto_April23 (1'!P331</f>
        <v>1805.7</v>
      </c>
      <c r="E331">
        <f>'All_India_Index_Upto_April23 (1'!E331+'All_India_Index_Upto_April23 (1'!F331</f>
        <v>378.5</v>
      </c>
      <c r="F331">
        <v>193.7</v>
      </c>
      <c r="G331">
        <f>'All_India_Index_Upto_April23 (1'!R331+'All_India_Index_Upto_April23 (1'!S331+'All_India_Index_Upto_April23 (1'!T331</f>
        <v>507.79999999999995</v>
      </c>
      <c r="H331">
        <f>'All_India_Index_Upto_April23 (1'!U331+'All_India_Index_Upto_April23 (1'!W331</f>
        <v>328.1</v>
      </c>
      <c r="I331">
        <v>167.2</v>
      </c>
      <c r="J331">
        <v>173</v>
      </c>
      <c r="K331">
        <v>157.9</v>
      </c>
      <c r="L331">
        <f>'All_India_Index_Upto_April23 (1'!Z331+'All_India_Index_Upto_April23 (1'!AA331+'All_India_Index_Upto_April23 (1'!AB331+'All_India_Index_Upto_April23 (1'!AC331+'All_India_Index_Upto_April23 (1'!AD331</f>
        <v>828.8</v>
      </c>
      <c r="M331">
        <f t="shared" si="55"/>
        <v>4540.7</v>
      </c>
      <c r="N331">
        <f t="shared" si="56"/>
        <v>39.766996278106902</v>
      </c>
      <c r="O331">
        <f t="shared" si="57"/>
        <v>8.3357191622437075</v>
      </c>
      <c r="P331">
        <f t="shared" si="58"/>
        <v>4.2658620917479686</v>
      </c>
      <c r="Q331">
        <f t="shared" si="59"/>
        <v>11.183297729424977</v>
      </c>
      <c r="R331">
        <f t="shared" si="60"/>
        <v>7.2257581430175968</v>
      </c>
      <c r="S331">
        <f t="shared" si="61"/>
        <v>3.6822516352104295</v>
      </c>
      <c r="T331">
        <f t="shared" si="62"/>
        <v>3.8099852445658158</v>
      </c>
      <c r="U331">
        <f t="shared" si="63"/>
        <v>3.4774373995198982</v>
      </c>
      <c r="V331">
        <f t="shared" si="64"/>
        <v>18.252692316162705</v>
      </c>
      <c r="W331">
        <f t="shared" si="65"/>
        <v>100</v>
      </c>
    </row>
    <row r="332" spans="1:23" x14ac:dyDescent="0.3">
      <c r="A332" t="s">
        <v>30</v>
      </c>
      <c r="B332">
        <v>2022</v>
      </c>
      <c r="C332" t="s">
        <v>36</v>
      </c>
      <c r="D332">
        <f>'All_India_Index_Upto_April23 (1'!D332+'All_India_Index_Upto_April23 (1'!G332+'All_India_Index_Upto_April23 (1'!H332+'All_India_Index_Upto_April23 (1'!I332+'All_India_Index_Upto_April23 (1'!J332+'All_India_Index_Upto_April23 (1'!K332+'All_India_Index_Upto_April23 (1'!L332+'All_India_Index_Upto_April23 (1'!M332+'All_India_Index_Upto_April23 (1'!N332+'All_India_Index_Upto_April23 (1'!O332+'All_India_Index_Upto_April23 (1'!P332</f>
        <v>1832.4000000000003</v>
      </c>
      <c r="E332">
        <f>'All_India_Index_Upto_April23 (1'!E332+'All_India_Index_Upto_April23 (1'!F332</f>
        <v>374.2</v>
      </c>
      <c r="F332">
        <v>192.8</v>
      </c>
      <c r="G332">
        <f>'All_India_Index_Upto_April23 (1'!R332+'All_India_Index_Upto_April23 (1'!S332+'All_India_Index_Upto_April23 (1'!T332</f>
        <v>529.70000000000005</v>
      </c>
      <c r="H332">
        <f>'All_India_Index_Upto_April23 (1'!U332+'All_India_Index_Upto_April23 (1'!W332</f>
        <v>167.7</v>
      </c>
      <c r="I332">
        <v>173.3</v>
      </c>
      <c r="J332">
        <v>177</v>
      </c>
      <c r="K332">
        <v>166.2</v>
      </c>
      <c r="L332">
        <f>'All_India_Index_Upto_April23 (1'!Z332+'All_India_Index_Upto_April23 (1'!AA332+'All_India_Index_Upto_April23 (1'!AB332+'All_India_Index_Upto_April23 (1'!AC332+'All_India_Index_Upto_April23 (1'!AD332</f>
        <v>848.09999999999991</v>
      </c>
      <c r="M332">
        <f t="shared" si="55"/>
        <v>4461.3999999999996</v>
      </c>
      <c r="N332">
        <f t="shared" si="56"/>
        <v>41.072309140628512</v>
      </c>
      <c r="O332">
        <f t="shared" si="57"/>
        <v>8.3875016810866558</v>
      </c>
      <c r="P332">
        <f t="shared" si="58"/>
        <v>4.3215134262787478</v>
      </c>
      <c r="Q332">
        <f t="shared" si="59"/>
        <v>11.872954677903799</v>
      </c>
      <c r="R332">
        <f t="shared" si="60"/>
        <v>3.7589097592683909</v>
      </c>
      <c r="S332">
        <f t="shared" si="61"/>
        <v>3.8844308961312599</v>
      </c>
      <c r="T332">
        <f t="shared" si="62"/>
        <v>3.9673645044156549</v>
      </c>
      <c r="U332">
        <f t="shared" si="63"/>
        <v>3.7252880261801229</v>
      </c>
      <c r="V332">
        <f t="shared" si="64"/>
        <v>19.009727888106873</v>
      </c>
      <c r="W332">
        <f t="shared" si="65"/>
        <v>100.00000000000003</v>
      </c>
    </row>
    <row r="333" spans="1:23" x14ac:dyDescent="0.3">
      <c r="A333" t="s">
        <v>32</v>
      </c>
      <c r="B333">
        <v>2022</v>
      </c>
      <c r="C333" t="s">
        <v>36</v>
      </c>
      <c r="D333">
        <f>'All_India_Index_Upto_April23 (1'!D333+'All_India_Index_Upto_April23 (1'!G333+'All_India_Index_Upto_April23 (1'!H333+'All_India_Index_Upto_April23 (1'!I333+'All_India_Index_Upto_April23 (1'!J333+'All_India_Index_Upto_April23 (1'!K333+'All_India_Index_Upto_April23 (1'!L333+'All_India_Index_Upto_April23 (1'!M333+'All_India_Index_Upto_April23 (1'!N333+'All_India_Index_Upto_April23 (1'!O333+'All_India_Index_Upto_April23 (1'!P333</f>
        <v>1850</v>
      </c>
      <c r="E333">
        <f>'All_India_Index_Upto_April23 (1'!E333+'All_India_Index_Upto_April23 (1'!F333</f>
        <v>380.4</v>
      </c>
      <c r="F333">
        <v>197.1</v>
      </c>
      <c r="G333">
        <f>'All_India_Index_Upto_April23 (1'!R333+'All_India_Index_Upto_April23 (1'!S333+'All_India_Index_Upto_April23 (1'!T333</f>
        <v>489.2</v>
      </c>
      <c r="H333">
        <f>'All_India_Index_Upto_April23 (1'!U333+'All_India_Index_Upto_April23 (1'!W333</f>
        <v>326.8</v>
      </c>
      <c r="I333">
        <v>170.5</v>
      </c>
      <c r="J333">
        <v>169</v>
      </c>
      <c r="K333">
        <v>159.30000000000001</v>
      </c>
      <c r="L333">
        <f>'All_India_Index_Upto_April23 (1'!Z333+'All_India_Index_Upto_April23 (1'!AA333+'All_India_Index_Upto_April23 (1'!AB333+'All_India_Index_Upto_April23 (1'!AC333+'All_India_Index_Upto_April23 (1'!AD333</f>
        <v>826.90000000000009</v>
      </c>
      <c r="M333">
        <f t="shared" si="55"/>
        <v>4569.2000000000007</v>
      </c>
      <c r="N333">
        <f t="shared" si="56"/>
        <v>40.488488137967252</v>
      </c>
      <c r="O333">
        <f t="shared" si="57"/>
        <v>8.3253085879366164</v>
      </c>
      <c r="P333">
        <f t="shared" si="58"/>
        <v>4.3136654118882944</v>
      </c>
      <c r="Q333">
        <f t="shared" si="59"/>
        <v>10.706469403834367</v>
      </c>
      <c r="R333">
        <f t="shared" si="60"/>
        <v>7.1522367153987565</v>
      </c>
      <c r="S333">
        <f t="shared" si="61"/>
        <v>3.7315066094721168</v>
      </c>
      <c r="T333">
        <f t="shared" si="62"/>
        <v>3.6986781055764681</v>
      </c>
      <c r="U333">
        <f t="shared" si="63"/>
        <v>3.486387113717937</v>
      </c>
      <c r="V333">
        <f t="shared" si="64"/>
        <v>18.097259914208173</v>
      </c>
      <c r="W333">
        <f t="shared" si="65"/>
        <v>99.999999999999972</v>
      </c>
    </row>
    <row r="334" spans="1:23" x14ac:dyDescent="0.3">
      <c r="A334" t="s">
        <v>33</v>
      </c>
      <c r="B334">
        <v>2022</v>
      </c>
      <c r="C334" t="s">
        <v>36</v>
      </c>
      <c r="D334">
        <f>'All_India_Index_Upto_April23 (1'!D334+'All_India_Index_Upto_April23 (1'!G334+'All_India_Index_Upto_April23 (1'!H334+'All_India_Index_Upto_April23 (1'!I334+'All_India_Index_Upto_April23 (1'!J334+'All_India_Index_Upto_April23 (1'!K334+'All_India_Index_Upto_April23 (1'!L334+'All_India_Index_Upto_April23 (1'!M334+'All_India_Index_Upto_April23 (1'!N334+'All_India_Index_Upto_April23 (1'!O334+'All_India_Index_Upto_April23 (1'!P334</f>
        <v>1838</v>
      </c>
      <c r="E334">
        <f>'All_India_Index_Upto_April23 (1'!E334+'All_India_Index_Upto_April23 (1'!F334</f>
        <v>376.3</v>
      </c>
      <c r="F334">
        <v>193.9</v>
      </c>
      <c r="G334">
        <f>'All_India_Index_Upto_April23 (1'!R334+'All_India_Index_Upto_April23 (1'!S334+'All_India_Index_Upto_April23 (1'!T334</f>
        <v>513.20000000000005</v>
      </c>
      <c r="H334">
        <f>'All_India_Index_Upto_April23 (1'!U334+'All_India_Index_Upto_April23 (1'!W334</f>
        <v>331</v>
      </c>
      <c r="I334">
        <v>172.2</v>
      </c>
      <c r="J334">
        <v>174</v>
      </c>
      <c r="K334">
        <v>162.6</v>
      </c>
      <c r="L334">
        <f>'All_India_Index_Upto_April23 (1'!Z334+'All_India_Index_Upto_April23 (1'!AA334+'All_India_Index_Upto_April23 (1'!AB334+'All_India_Index_Upto_April23 (1'!AC334+'All_India_Index_Upto_April23 (1'!AD334</f>
        <v>837.00000000000011</v>
      </c>
      <c r="M334">
        <f t="shared" si="55"/>
        <v>4598.2000000000007</v>
      </c>
      <c r="N334">
        <f t="shared" si="56"/>
        <v>39.972163020312287</v>
      </c>
      <c r="O334">
        <f t="shared" si="57"/>
        <v>8.1836370753773195</v>
      </c>
      <c r="P334">
        <f t="shared" si="58"/>
        <v>4.2168674698795181</v>
      </c>
      <c r="Q334">
        <f t="shared" si="59"/>
        <v>11.160889043538775</v>
      </c>
      <c r="R334">
        <f t="shared" si="60"/>
        <v>7.1984689661171748</v>
      </c>
      <c r="S334">
        <f t="shared" si="61"/>
        <v>3.7449436736114126</v>
      </c>
      <c r="T334">
        <f t="shared" si="62"/>
        <v>3.7840894262972462</v>
      </c>
      <c r="U334">
        <f t="shared" si="63"/>
        <v>3.5361663259536331</v>
      </c>
      <c r="V334">
        <f t="shared" si="64"/>
        <v>18.20277499891262</v>
      </c>
      <c r="W334">
        <f t="shared" si="65"/>
        <v>99.999999999999972</v>
      </c>
    </row>
    <row r="335" spans="1:23" x14ac:dyDescent="0.3">
      <c r="A335" t="s">
        <v>30</v>
      </c>
      <c r="B335">
        <v>2022</v>
      </c>
      <c r="C335" t="s">
        <v>37</v>
      </c>
      <c r="D335">
        <f>'All_India_Index_Upto_April23 (1'!D335+'All_India_Index_Upto_April23 (1'!G335+'All_India_Index_Upto_April23 (1'!H335+'All_India_Index_Upto_April23 (1'!I335+'All_India_Index_Upto_April23 (1'!J335+'All_India_Index_Upto_April23 (1'!K335+'All_India_Index_Upto_April23 (1'!L335+'All_India_Index_Upto_April23 (1'!M335+'All_India_Index_Upto_April23 (1'!N335+'All_India_Index_Upto_April23 (1'!O335+'All_India_Index_Upto_April23 (1'!P335</f>
        <v>1850.7</v>
      </c>
      <c r="E335">
        <f>'All_India_Index_Upto_April23 (1'!E335+'All_India_Index_Upto_April23 (1'!F335</f>
        <v>376.1</v>
      </c>
      <c r="F335">
        <v>192.9</v>
      </c>
      <c r="G335">
        <f>'All_India_Index_Upto_April23 (1'!R335+'All_India_Index_Upto_April23 (1'!S335+'All_India_Index_Upto_April23 (1'!T335</f>
        <v>535.5</v>
      </c>
      <c r="H335">
        <f>'All_India_Index_Upto_April23 (1'!U335+'All_India_Index_Upto_April23 (1'!W335</f>
        <v>168.9</v>
      </c>
      <c r="I335">
        <v>175.3</v>
      </c>
      <c r="J335">
        <v>177.7</v>
      </c>
      <c r="K335">
        <v>167.1</v>
      </c>
      <c r="L335">
        <f>'All_India_Index_Upto_April23 (1'!Z335+'All_India_Index_Upto_April23 (1'!AA335+'All_India_Index_Upto_April23 (1'!AB335+'All_India_Index_Upto_April23 (1'!AC335+'All_India_Index_Upto_April23 (1'!AD335</f>
        <v>851.3</v>
      </c>
      <c r="M335">
        <f t="shared" si="55"/>
        <v>4495.5</v>
      </c>
      <c r="N335">
        <f t="shared" si="56"/>
        <v>41.167834501167839</v>
      </c>
      <c r="O335">
        <f t="shared" si="57"/>
        <v>8.3661439216994768</v>
      </c>
      <c r="P335">
        <f t="shared" si="58"/>
        <v>4.2909576242909582</v>
      </c>
      <c r="Q335">
        <f t="shared" si="59"/>
        <v>11.911911911911911</v>
      </c>
      <c r="R335">
        <f t="shared" si="60"/>
        <v>3.7570904237570901</v>
      </c>
      <c r="S335">
        <f t="shared" si="61"/>
        <v>3.8994550105661219</v>
      </c>
      <c r="T335">
        <f t="shared" si="62"/>
        <v>3.9528417306195078</v>
      </c>
      <c r="U335">
        <f t="shared" si="63"/>
        <v>3.7170503837170501</v>
      </c>
      <c r="V335">
        <f t="shared" si="64"/>
        <v>18.936714492270045</v>
      </c>
      <c r="W335">
        <f t="shared" si="65"/>
        <v>100.00000000000001</v>
      </c>
    </row>
    <row r="336" spans="1:23" x14ac:dyDescent="0.3">
      <c r="A336" t="s">
        <v>32</v>
      </c>
      <c r="B336">
        <v>2022</v>
      </c>
      <c r="C336" t="s">
        <v>37</v>
      </c>
      <c r="D336">
        <f>'All_India_Index_Upto_April23 (1'!D336+'All_India_Index_Upto_April23 (1'!G336+'All_India_Index_Upto_April23 (1'!H336+'All_India_Index_Upto_April23 (1'!I336+'All_India_Index_Upto_April23 (1'!J336+'All_India_Index_Upto_April23 (1'!K336+'All_India_Index_Upto_April23 (1'!L336+'All_India_Index_Upto_April23 (1'!M336+'All_India_Index_Upto_April23 (1'!N336+'All_India_Index_Upto_April23 (1'!O336+'All_India_Index_Upto_April23 (1'!P336</f>
        <v>1876.9</v>
      </c>
      <c r="E336">
        <f>'All_India_Index_Upto_April23 (1'!E336+'All_India_Index_Upto_April23 (1'!F336</f>
        <v>385.29999999999995</v>
      </c>
      <c r="F336">
        <v>197.5</v>
      </c>
      <c r="G336">
        <f>'All_India_Index_Upto_April23 (1'!R336+'All_India_Index_Upto_April23 (1'!S336+'All_India_Index_Upto_April23 (1'!T336</f>
        <v>493.7</v>
      </c>
      <c r="H336">
        <f>'All_India_Index_Upto_April23 (1'!U336+'All_India_Index_Upto_April23 (1'!W336</f>
        <v>328.6</v>
      </c>
      <c r="I336">
        <v>173.5</v>
      </c>
      <c r="J336">
        <v>170.1</v>
      </c>
      <c r="K336">
        <v>159.4</v>
      </c>
      <c r="L336">
        <f>'All_India_Index_Upto_April23 (1'!Z336+'All_India_Index_Upto_April23 (1'!AA336+'All_India_Index_Upto_April23 (1'!AB336+'All_India_Index_Upto_April23 (1'!AC336+'All_India_Index_Upto_April23 (1'!AD336</f>
        <v>831.2</v>
      </c>
      <c r="M336">
        <f t="shared" si="55"/>
        <v>4616.2</v>
      </c>
      <c r="N336">
        <f t="shared" si="56"/>
        <v>40.658983579567618</v>
      </c>
      <c r="O336">
        <f t="shared" si="57"/>
        <v>8.3466920843984234</v>
      </c>
      <c r="P336">
        <f t="shared" si="58"/>
        <v>4.2784108140895105</v>
      </c>
      <c r="Q336">
        <f t="shared" si="59"/>
        <v>10.694943893245528</v>
      </c>
      <c r="R336">
        <f t="shared" si="60"/>
        <v>7.1184090810623459</v>
      </c>
      <c r="S336">
        <f t="shared" si="61"/>
        <v>3.7585026645292667</v>
      </c>
      <c r="T336">
        <f t="shared" si="62"/>
        <v>3.6848490100082323</v>
      </c>
      <c r="U336">
        <f t="shared" si="63"/>
        <v>3.4530566266626233</v>
      </c>
      <c r="V336">
        <f t="shared" si="64"/>
        <v>18.006152246436464</v>
      </c>
      <c r="W336">
        <f t="shared" si="65"/>
        <v>100.00000000000003</v>
      </c>
    </row>
    <row r="337" spans="1:23" x14ac:dyDescent="0.3">
      <c r="A337" t="s">
        <v>33</v>
      </c>
      <c r="B337">
        <v>2022</v>
      </c>
      <c r="C337" t="s">
        <v>37</v>
      </c>
      <c r="D337">
        <f>'All_India_Index_Upto_April23 (1'!D337+'All_India_Index_Upto_April23 (1'!G337+'All_India_Index_Upto_April23 (1'!H337+'All_India_Index_Upto_April23 (1'!I337+'All_India_Index_Upto_April23 (1'!J337+'All_India_Index_Upto_April23 (1'!K337+'All_India_Index_Upto_April23 (1'!L337+'All_India_Index_Upto_April23 (1'!M337+'All_India_Index_Upto_April23 (1'!N337+'All_India_Index_Upto_April23 (1'!O337+'All_India_Index_Upto_April23 (1'!P337</f>
        <v>1859.5</v>
      </c>
      <c r="E337">
        <f>'All_India_Index_Upto_April23 (1'!E337+'All_India_Index_Upto_April23 (1'!F337</f>
        <v>379.4</v>
      </c>
      <c r="F337">
        <v>194.1</v>
      </c>
      <c r="G337">
        <f>'All_India_Index_Upto_April23 (1'!R337+'All_India_Index_Upto_April23 (1'!S337+'All_India_Index_Upto_April23 (1'!T337</f>
        <v>518.6</v>
      </c>
      <c r="H337">
        <f>'All_India_Index_Upto_April23 (1'!U337+'All_India_Index_Upto_April23 (1'!W337</f>
        <v>332.7</v>
      </c>
      <c r="I337">
        <v>174.6</v>
      </c>
      <c r="J337">
        <v>174.8</v>
      </c>
      <c r="K337">
        <v>163</v>
      </c>
      <c r="L337">
        <f>'All_India_Index_Upto_April23 (1'!Z337+'All_India_Index_Upto_April23 (1'!AA337+'All_India_Index_Upto_April23 (1'!AB337+'All_India_Index_Upto_April23 (1'!AC337+'All_India_Index_Upto_April23 (1'!AD337</f>
        <v>840.59999999999991</v>
      </c>
      <c r="M337">
        <f t="shared" si="55"/>
        <v>4637.2999999999993</v>
      </c>
      <c r="N337">
        <f t="shared" si="56"/>
        <v>40.098764367196438</v>
      </c>
      <c r="O337">
        <f t="shared" si="57"/>
        <v>8.1814849157915184</v>
      </c>
      <c r="P337">
        <f t="shared" si="58"/>
        <v>4.1856252560757339</v>
      </c>
      <c r="Q337">
        <f t="shared" si="59"/>
        <v>11.183231621848924</v>
      </c>
      <c r="R337">
        <f t="shared" si="60"/>
        <v>7.1744333987449602</v>
      </c>
      <c r="S337">
        <f t="shared" si="61"/>
        <v>3.7651219459599337</v>
      </c>
      <c r="T337">
        <f t="shared" si="62"/>
        <v>3.769434800422661</v>
      </c>
      <c r="U337">
        <f t="shared" si="63"/>
        <v>3.5149763871218176</v>
      </c>
      <c r="V337">
        <f t="shared" si="64"/>
        <v>18.126927306838031</v>
      </c>
      <c r="W337">
        <f t="shared" si="65"/>
        <v>100.00000000000001</v>
      </c>
    </row>
    <row r="338" spans="1:23" x14ac:dyDescent="0.3">
      <c r="A338" t="s">
        <v>30</v>
      </c>
      <c r="B338">
        <v>2022</v>
      </c>
      <c r="C338" t="s">
        <v>38</v>
      </c>
      <c r="D338">
        <f>'All_India_Index_Upto_April23 (1'!D338+'All_India_Index_Upto_April23 (1'!G338+'All_India_Index_Upto_April23 (1'!H338+'All_India_Index_Upto_April23 (1'!I338+'All_India_Index_Upto_April23 (1'!J338+'All_India_Index_Upto_April23 (1'!K338+'All_India_Index_Upto_April23 (1'!L338+'All_India_Index_Upto_April23 (1'!M338+'All_India_Index_Upto_April23 (1'!N338+'All_India_Index_Upto_April23 (1'!O338+'All_India_Index_Upto_April23 (1'!P338</f>
        <v>1861.5000000000002</v>
      </c>
      <c r="E338">
        <f>'All_India_Index_Upto_April23 (1'!E338+'All_India_Index_Upto_April23 (1'!F338</f>
        <v>386.79999999999995</v>
      </c>
      <c r="F338">
        <v>192.9</v>
      </c>
      <c r="G338">
        <f>'All_India_Index_Upto_April23 (1'!R338+'All_India_Index_Upto_April23 (1'!S338+'All_India_Index_Upto_April23 (1'!T338</f>
        <v>539.79999999999995</v>
      </c>
      <c r="H338">
        <f>'All_India_Index_Upto_April23 (1'!U338+'All_India_Index_Upto_April23 (1'!W338</f>
        <v>170.3</v>
      </c>
      <c r="I338">
        <v>176.7</v>
      </c>
      <c r="J338">
        <v>178.2</v>
      </c>
      <c r="K338">
        <v>165.5</v>
      </c>
      <c r="L338">
        <f>'All_India_Index_Upto_April23 (1'!Z338+'All_India_Index_Upto_April23 (1'!AA338+'All_India_Index_Upto_April23 (1'!AB338+'All_India_Index_Upto_April23 (1'!AC338+'All_India_Index_Upto_April23 (1'!AD338</f>
        <v>854.7</v>
      </c>
      <c r="M338">
        <f t="shared" si="55"/>
        <v>4526.3999999999996</v>
      </c>
      <c r="N338">
        <f t="shared" si="56"/>
        <v>41.12539766702016</v>
      </c>
      <c r="O338">
        <f t="shared" si="57"/>
        <v>8.5454224107458465</v>
      </c>
      <c r="P338">
        <f t="shared" si="58"/>
        <v>4.2616648992576884</v>
      </c>
      <c r="Q338">
        <f t="shared" si="59"/>
        <v>11.925592082007777</v>
      </c>
      <c r="R338">
        <f t="shared" si="60"/>
        <v>3.7623718628490637</v>
      </c>
      <c r="S338">
        <f t="shared" si="61"/>
        <v>3.9037645811240722</v>
      </c>
      <c r="T338">
        <f t="shared" si="62"/>
        <v>3.9369034994697771</v>
      </c>
      <c r="U338">
        <f t="shared" si="63"/>
        <v>3.6563273241428074</v>
      </c>
      <c r="V338">
        <f t="shared" si="64"/>
        <v>18.882555673382821</v>
      </c>
      <c r="W338">
        <f t="shared" si="65"/>
        <v>100.00000000000001</v>
      </c>
    </row>
    <row r="339" spans="1:23" x14ac:dyDescent="0.3">
      <c r="A339" t="s">
        <v>32</v>
      </c>
      <c r="B339">
        <v>2022</v>
      </c>
      <c r="C339" t="s">
        <v>38</v>
      </c>
      <c r="D339">
        <f>'All_India_Index_Upto_April23 (1'!D339+'All_India_Index_Upto_April23 (1'!G339+'All_India_Index_Upto_April23 (1'!H339+'All_India_Index_Upto_April23 (1'!I339+'All_India_Index_Upto_April23 (1'!J339+'All_India_Index_Upto_April23 (1'!K339+'All_India_Index_Upto_April23 (1'!L339+'All_India_Index_Upto_April23 (1'!M339+'All_India_Index_Upto_April23 (1'!N339+'All_India_Index_Upto_April23 (1'!O339+'All_India_Index_Upto_April23 (1'!P339</f>
        <v>1891.3</v>
      </c>
      <c r="E339">
        <f>'All_India_Index_Upto_April23 (1'!E339+'All_India_Index_Upto_April23 (1'!F339</f>
        <v>396.20000000000005</v>
      </c>
      <c r="F339">
        <v>198.3</v>
      </c>
      <c r="G339">
        <f>'All_India_Index_Upto_April23 (1'!R339+'All_India_Index_Upto_April23 (1'!S339+'All_India_Index_Upto_April23 (1'!T339</f>
        <v>498.4</v>
      </c>
      <c r="H339">
        <f>'All_India_Index_Upto_April23 (1'!U339+'All_India_Index_Upto_April23 (1'!W339</f>
        <v>328.9</v>
      </c>
      <c r="I339">
        <v>174.9</v>
      </c>
      <c r="J339">
        <v>170.9</v>
      </c>
      <c r="K339">
        <v>157.19999999999999</v>
      </c>
      <c r="L339">
        <f>'All_India_Index_Upto_April23 (1'!Z339+'All_India_Index_Upto_April23 (1'!AA339+'All_India_Index_Upto_April23 (1'!AB339+'All_India_Index_Upto_April23 (1'!AC339+'All_India_Index_Upto_April23 (1'!AD339</f>
        <v>835</v>
      </c>
      <c r="M339">
        <f t="shared" si="55"/>
        <v>4651.1000000000004</v>
      </c>
      <c r="N339">
        <f t="shared" si="56"/>
        <v>40.663498957235916</v>
      </c>
      <c r="O339">
        <f t="shared" si="57"/>
        <v>8.5184149986024824</v>
      </c>
      <c r="P339">
        <f t="shared" si="58"/>
        <v>4.2635075573520238</v>
      </c>
      <c r="Q339">
        <f t="shared" si="59"/>
        <v>10.715744662552943</v>
      </c>
      <c r="R339">
        <f t="shared" si="60"/>
        <v>7.0714454645137703</v>
      </c>
      <c r="S339">
        <f t="shared" si="61"/>
        <v>3.7604007654103331</v>
      </c>
      <c r="T339">
        <f t="shared" si="62"/>
        <v>3.674399604394659</v>
      </c>
      <c r="U339">
        <f t="shared" si="63"/>
        <v>3.3798456279159761</v>
      </c>
      <c r="V339">
        <f t="shared" si="64"/>
        <v>17.952742362021887</v>
      </c>
      <c r="W339">
        <f t="shared" si="65"/>
        <v>100</v>
      </c>
    </row>
    <row r="340" spans="1:23" x14ac:dyDescent="0.3">
      <c r="A340" t="s">
        <v>33</v>
      </c>
      <c r="B340">
        <v>2022</v>
      </c>
      <c r="C340" t="s">
        <v>38</v>
      </c>
      <c r="D340">
        <f>'All_India_Index_Upto_April23 (1'!D340+'All_India_Index_Upto_April23 (1'!G340+'All_India_Index_Upto_April23 (1'!H340+'All_India_Index_Upto_April23 (1'!I340+'All_India_Index_Upto_April23 (1'!J340+'All_India_Index_Upto_April23 (1'!K340+'All_India_Index_Upto_April23 (1'!L340+'All_India_Index_Upto_April23 (1'!M340+'All_India_Index_Upto_April23 (1'!N340+'All_India_Index_Upto_April23 (1'!O340+'All_India_Index_Upto_April23 (1'!P340</f>
        <v>1871.7000000000003</v>
      </c>
      <c r="E340">
        <f>'All_India_Index_Upto_April23 (1'!E340+'All_India_Index_Upto_April23 (1'!F340</f>
        <v>390.20000000000005</v>
      </c>
      <c r="F340">
        <v>194.3</v>
      </c>
      <c r="G340">
        <f>'All_India_Index_Upto_April23 (1'!R340+'All_India_Index_Upto_April23 (1'!S340+'All_India_Index_Upto_April23 (1'!T340</f>
        <v>523</v>
      </c>
      <c r="H340">
        <f>'All_India_Index_Upto_April23 (1'!U340+'All_India_Index_Upto_April23 (1'!W340</f>
        <v>333.20000000000005</v>
      </c>
      <c r="I340">
        <v>176</v>
      </c>
      <c r="J340">
        <v>175.4</v>
      </c>
      <c r="K340">
        <v>161.1</v>
      </c>
      <c r="L340">
        <f>'All_India_Index_Upto_April23 (1'!Z340+'All_India_Index_Upto_April23 (1'!AA340+'All_India_Index_Upto_April23 (1'!AB340+'All_India_Index_Upto_April23 (1'!AC340+'All_India_Index_Upto_April23 (1'!AD340</f>
        <v>844.30000000000007</v>
      </c>
      <c r="M340">
        <f t="shared" si="55"/>
        <v>4669.2000000000007</v>
      </c>
      <c r="N340">
        <f t="shared" si="56"/>
        <v>40.086096119249547</v>
      </c>
      <c r="O340">
        <f t="shared" si="57"/>
        <v>8.356891972928981</v>
      </c>
      <c r="P340">
        <f t="shared" si="58"/>
        <v>4.1613124303949283</v>
      </c>
      <c r="Q340">
        <f t="shared" si="59"/>
        <v>11.201062280476311</v>
      </c>
      <c r="R340">
        <f t="shared" si="60"/>
        <v>7.1361261029726712</v>
      </c>
      <c r="S340">
        <f t="shared" si="61"/>
        <v>3.7693823353036913</v>
      </c>
      <c r="T340">
        <f t="shared" si="62"/>
        <v>3.7565321682515203</v>
      </c>
      <c r="U340">
        <f t="shared" si="63"/>
        <v>3.4502698535080949</v>
      </c>
      <c r="V340">
        <f t="shared" si="64"/>
        <v>18.082326736914244</v>
      </c>
      <c r="W340">
        <f t="shared" si="65"/>
        <v>99.999999999999972</v>
      </c>
    </row>
    <row r="341" spans="1:23" x14ac:dyDescent="0.3">
      <c r="A341" t="s">
        <v>30</v>
      </c>
      <c r="B341">
        <v>2022</v>
      </c>
      <c r="C341" t="s">
        <v>39</v>
      </c>
      <c r="D341">
        <f>'All_India_Index_Upto_April23 (1'!D341+'All_India_Index_Upto_April23 (1'!G341+'All_India_Index_Upto_April23 (1'!H341+'All_India_Index_Upto_April23 (1'!I341+'All_India_Index_Upto_April23 (1'!J341+'All_India_Index_Upto_April23 (1'!K341+'All_India_Index_Upto_April23 (1'!L341+'All_India_Index_Upto_April23 (1'!M341+'All_India_Index_Upto_April23 (1'!N341+'All_India_Index_Upto_April23 (1'!O341+'All_India_Index_Upto_April23 (1'!P341</f>
        <v>1867.4</v>
      </c>
      <c r="E341">
        <f>'All_India_Index_Upto_April23 (1'!E341+'All_India_Index_Upto_April23 (1'!F341</f>
        <v>385.1</v>
      </c>
      <c r="F341">
        <v>193.2</v>
      </c>
      <c r="G341">
        <f>'All_India_Index_Upto_April23 (1'!R341+'All_India_Index_Upto_April23 (1'!S341+'All_India_Index_Upto_April23 (1'!T341</f>
        <v>544</v>
      </c>
      <c r="H341">
        <f>'All_India_Index_Upto_April23 (1'!U341+'All_India_Index_Upto_April23 (1'!W341</f>
        <v>171.3</v>
      </c>
      <c r="I341">
        <v>179.6</v>
      </c>
      <c r="J341">
        <v>178.8</v>
      </c>
      <c r="K341">
        <v>166.3</v>
      </c>
      <c r="L341">
        <f>'All_India_Index_Upto_April23 (1'!Z341+'All_India_Index_Upto_April23 (1'!AA341+'All_India_Index_Upto_April23 (1'!AB341+'All_India_Index_Upto_April23 (1'!AC341+'All_India_Index_Upto_April23 (1'!AD341</f>
        <v>859.09999999999991</v>
      </c>
      <c r="M341">
        <f t="shared" si="55"/>
        <v>4544.8</v>
      </c>
      <c r="N341">
        <f t="shared" si="56"/>
        <v>41.08871677521563</v>
      </c>
      <c r="O341">
        <f t="shared" si="57"/>
        <v>8.4734201725048397</v>
      </c>
      <c r="P341">
        <f t="shared" si="58"/>
        <v>4.2510121457489873</v>
      </c>
      <c r="Q341">
        <f t="shared" si="59"/>
        <v>11.969723640204188</v>
      </c>
      <c r="R341">
        <f t="shared" si="60"/>
        <v>3.7691427565569446</v>
      </c>
      <c r="S341">
        <f t="shared" si="61"/>
        <v>3.9517690547438833</v>
      </c>
      <c r="T341">
        <f t="shared" si="62"/>
        <v>3.9341665199788776</v>
      </c>
      <c r="U341">
        <f t="shared" si="63"/>
        <v>3.6591269142756557</v>
      </c>
      <c r="V341">
        <f t="shared" si="64"/>
        <v>18.902922020770987</v>
      </c>
      <c r="W341">
        <f t="shared" si="65"/>
        <v>99.999999999999986</v>
      </c>
    </row>
    <row r="342" spans="1:23" x14ac:dyDescent="0.3">
      <c r="A342" t="s">
        <v>32</v>
      </c>
      <c r="B342">
        <v>2022</v>
      </c>
      <c r="C342" t="s">
        <v>39</v>
      </c>
      <c r="D342">
        <f>'All_India_Index_Upto_April23 (1'!D342+'All_India_Index_Upto_April23 (1'!G342+'All_India_Index_Upto_April23 (1'!H342+'All_India_Index_Upto_April23 (1'!I342+'All_India_Index_Upto_April23 (1'!J342+'All_India_Index_Upto_April23 (1'!K342+'All_India_Index_Upto_April23 (1'!L342+'All_India_Index_Upto_April23 (1'!M342+'All_India_Index_Upto_April23 (1'!N342+'All_India_Index_Upto_April23 (1'!O342+'All_India_Index_Upto_April23 (1'!P342</f>
        <v>1897.9</v>
      </c>
      <c r="E342">
        <f>'All_India_Index_Upto_April23 (1'!E342+'All_India_Index_Upto_April23 (1'!F342</f>
        <v>393.7</v>
      </c>
      <c r="F342">
        <v>198.6</v>
      </c>
      <c r="G342">
        <f>'All_India_Index_Upto_April23 (1'!R342+'All_India_Index_Upto_April23 (1'!S342+'All_India_Index_Upto_April23 (1'!T342</f>
        <v>502</v>
      </c>
      <c r="H342">
        <f>'All_India_Index_Upto_April23 (1'!U342+'All_India_Index_Upto_April23 (1'!W342</f>
        <v>330.9</v>
      </c>
      <c r="I342">
        <v>179.5</v>
      </c>
      <c r="J342">
        <v>171.7</v>
      </c>
      <c r="K342">
        <v>157.4</v>
      </c>
      <c r="L342">
        <f>'All_India_Index_Upto_April23 (1'!Z342+'All_India_Index_Upto_April23 (1'!AA342+'All_India_Index_Upto_April23 (1'!AB342+'All_India_Index_Upto_April23 (1'!AC342+'All_India_Index_Upto_April23 (1'!AD342</f>
        <v>840.5</v>
      </c>
      <c r="M342">
        <f t="shared" si="55"/>
        <v>4672.2</v>
      </c>
      <c r="N342">
        <f t="shared" si="56"/>
        <v>40.621120671204146</v>
      </c>
      <c r="O342">
        <f t="shared" si="57"/>
        <v>8.4264372244338865</v>
      </c>
      <c r="P342">
        <f t="shared" si="58"/>
        <v>4.2506742005907281</v>
      </c>
      <c r="Q342">
        <f t="shared" si="59"/>
        <v>10.744403064937288</v>
      </c>
      <c r="R342">
        <f t="shared" si="60"/>
        <v>7.0823166816489023</v>
      </c>
      <c r="S342">
        <f t="shared" si="61"/>
        <v>3.8418732074825566</v>
      </c>
      <c r="T342">
        <f t="shared" si="62"/>
        <v>3.6749282993022563</v>
      </c>
      <c r="U342">
        <f t="shared" si="63"/>
        <v>3.3688626343050387</v>
      </c>
      <c r="V342">
        <f t="shared" si="64"/>
        <v>17.989384016095205</v>
      </c>
      <c r="W342">
        <f t="shared" si="65"/>
        <v>100.00000000000001</v>
      </c>
    </row>
    <row r="343" spans="1:23" x14ac:dyDescent="0.3">
      <c r="A343" t="s">
        <v>33</v>
      </c>
      <c r="B343">
        <v>2022</v>
      </c>
      <c r="C343" t="s">
        <v>39</v>
      </c>
      <c r="D343">
        <f>'All_India_Index_Upto_April23 (1'!D343+'All_India_Index_Upto_April23 (1'!G343+'All_India_Index_Upto_April23 (1'!H343+'All_India_Index_Upto_April23 (1'!I343+'All_India_Index_Upto_April23 (1'!J343+'All_India_Index_Upto_April23 (1'!K343+'All_India_Index_Upto_April23 (1'!L343+'All_India_Index_Upto_April23 (1'!M343+'All_India_Index_Upto_April23 (1'!N343+'All_India_Index_Upto_April23 (1'!O343+'All_India_Index_Upto_April23 (1'!P343</f>
        <v>1878.1000000000004</v>
      </c>
      <c r="E343">
        <f>'All_India_Index_Upto_April23 (1'!E343+'All_India_Index_Upto_April23 (1'!F343</f>
        <v>388.2</v>
      </c>
      <c r="F343">
        <v>194.6</v>
      </c>
      <c r="G343">
        <f>'All_India_Index_Upto_April23 (1'!R343+'All_India_Index_Upto_April23 (1'!S343+'All_India_Index_Upto_April23 (1'!T343</f>
        <v>526.90000000000009</v>
      </c>
      <c r="H343">
        <f>'All_India_Index_Upto_April23 (1'!U343+'All_India_Index_Upto_April23 (1'!W343</f>
        <v>335.20000000000005</v>
      </c>
      <c r="I343">
        <v>179.6</v>
      </c>
      <c r="J343">
        <v>176.1</v>
      </c>
      <c r="K343">
        <v>161.6</v>
      </c>
      <c r="L343">
        <f>'All_India_Index_Upto_April23 (1'!Z343+'All_India_Index_Upto_April23 (1'!AA343+'All_India_Index_Upto_April23 (1'!AB343+'All_India_Index_Upto_April23 (1'!AC343+'All_India_Index_Upto_April23 (1'!AD343</f>
        <v>849.2</v>
      </c>
      <c r="M343">
        <f t="shared" si="55"/>
        <v>4689.5</v>
      </c>
      <c r="N343">
        <f t="shared" si="56"/>
        <v>40.049045740484068</v>
      </c>
      <c r="O343">
        <f t="shared" si="57"/>
        <v>8.2780680243096274</v>
      </c>
      <c r="P343">
        <f t="shared" si="58"/>
        <v>4.1496961296513488</v>
      </c>
      <c r="Q343">
        <f t="shared" si="59"/>
        <v>11.235739417848386</v>
      </c>
      <c r="R343">
        <f t="shared" si="60"/>
        <v>7.1478835696769387</v>
      </c>
      <c r="S343">
        <f t="shared" si="61"/>
        <v>3.8298326047553046</v>
      </c>
      <c r="T343">
        <f t="shared" si="62"/>
        <v>3.7551977822795601</v>
      </c>
      <c r="U343">
        <f t="shared" si="63"/>
        <v>3.4459963748800511</v>
      </c>
      <c r="V343">
        <f t="shared" si="64"/>
        <v>18.108540356114723</v>
      </c>
      <c r="W343">
        <f t="shared" si="65"/>
        <v>100.00000000000003</v>
      </c>
    </row>
    <row r="344" spans="1:23" x14ac:dyDescent="0.3">
      <c r="A344" t="s">
        <v>30</v>
      </c>
      <c r="B344">
        <v>2022</v>
      </c>
      <c r="C344" t="s">
        <v>40</v>
      </c>
      <c r="D344">
        <f>'All_India_Index_Upto_April23 (1'!D344+'All_India_Index_Upto_April23 (1'!G344+'All_India_Index_Upto_April23 (1'!H344+'All_India_Index_Upto_April23 (1'!I344+'All_India_Index_Upto_April23 (1'!J344+'All_India_Index_Upto_April23 (1'!K344+'All_India_Index_Upto_April23 (1'!L344+'All_India_Index_Upto_April23 (1'!M344+'All_India_Index_Upto_April23 (1'!N344+'All_India_Index_Upto_April23 (1'!O344+'All_India_Index_Upto_April23 (1'!P344</f>
        <v>1883.4</v>
      </c>
      <c r="E344">
        <f>'All_India_Index_Upto_April23 (1'!E344+'All_India_Index_Upto_April23 (1'!F344</f>
        <v>372.4</v>
      </c>
      <c r="F344">
        <v>193.7</v>
      </c>
      <c r="G344">
        <f>'All_India_Index_Upto_April23 (1'!R344+'All_India_Index_Upto_April23 (1'!S344+'All_India_Index_Upto_April23 (1'!T344</f>
        <v>547.9</v>
      </c>
      <c r="H344">
        <f>'All_India_Index_Upto_April23 (1'!U344+'All_India_Index_Upto_April23 (1'!W344</f>
        <v>172.3</v>
      </c>
      <c r="I344">
        <v>179.1</v>
      </c>
      <c r="J344">
        <v>179.4</v>
      </c>
      <c r="K344">
        <v>166.6</v>
      </c>
      <c r="L344">
        <f>'All_India_Index_Upto_April23 (1'!Z344+'All_India_Index_Upto_April23 (1'!AA344+'All_India_Index_Upto_April23 (1'!AB344+'All_India_Index_Upto_April23 (1'!AC344+'All_India_Index_Upto_April23 (1'!AD344</f>
        <v>864</v>
      </c>
      <c r="M344">
        <f t="shared" si="55"/>
        <v>4558.8</v>
      </c>
      <c r="N344">
        <f t="shared" si="56"/>
        <v>41.313503553566726</v>
      </c>
      <c r="O344">
        <f t="shared" si="57"/>
        <v>8.1688163551811872</v>
      </c>
      <c r="P344">
        <f t="shared" si="58"/>
        <v>4.2489251557427385</v>
      </c>
      <c r="Q344">
        <f t="shared" si="59"/>
        <v>12.018513643941386</v>
      </c>
      <c r="R344">
        <f t="shared" si="60"/>
        <v>3.7795033780819511</v>
      </c>
      <c r="S344">
        <f t="shared" si="61"/>
        <v>3.9286654382732293</v>
      </c>
      <c r="T344">
        <f t="shared" si="62"/>
        <v>3.9352461173993158</v>
      </c>
      <c r="U344">
        <f t="shared" si="63"/>
        <v>3.6544704746863208</v>
      </c>
      <c r="V344">
        <f t="shared" si="64"/>
        <v>18.952355883127137</v>
      </c>
      <c r="W344">
        <f t="shared" si="65"/>
        <v>100</v>
      </c>
    </row>
    <row r="345" spans="1:23" x14ac:dyDescent="0.3">
      <c r="A345" t="s">
        <v>32</v>
      </c>
      <c r="B345">
        <v>2022</v>
      </c>
      <c r="C345" t="s">
        <v>40</v>
      </c>
      <c r="D345">
        <f>'All_India_Index_Upto_April23 (1'!D345+'All_India_Index_Upto_April23 (1'!G345+'All_India_Index_Upto_April23 (1'!H345+'All_India_Index_Upto_April23 (1'!I345+'All_India_Index_Upto_April23 (1'!J345+'All_India_Index_Upto_April23 (1'!K345+'All_India_Index_Upto_April23 (1'!L345+'All_India_Index_Upto_April23 (1'!M345+'All_India_Index_Upto_April23 (1'!N345+'All_India_Index_Upto_April23 (1'!O345+'All_India_Index_Upto_April23 (1'!P345</f>
        <v>1912.2000000000003</v>
      </c>
      <c r="E345">
        <f>'All_India_Index_Upto_April23 (1'!E345+'All_India_Index_Upto_April23 (1'!F345</f>
        <v>381.5</v>
      </c>
      <c r="F345">
        <v>198.7</v>
      </c>
      <c r="G345">
        <f>'All_India_Index_Upto_April23 (1'!R345+'All_India_Index_Upto_April23 (1'!S345+'All_India_Index_Upto_April23 (1'!T345</f>
        <v>505.29999999999995</v>
      </c>
      <c r="H345">
        <f>'All_India_Index_Upto_April23 (1'!U345+'All_India_Index_Upto_April23 (1'!W345</f>
        <v>333.2</v>
      </c>
      <c r="I345">
        <v>178.4</v>
      </c>
      <c r="J345">
        <v>172.6</v>
      </c>
      <c r="K345">
        <v>157.69999999999999</v>
      </c>
      <c r="L345">
        <f>'All_India_Index_Upto_April23 (1'!Z345+'All_India_Index_Upto_April23 (1'!AA345+'All_India_Index_Upto_April23 (1'!AB345+'All_India_Index_Upto_April23 (1'!AC345+'All_India_Index_Upto_April23 (1'!AD345</f>
        <v>844.9</v>
      </c>
      <c r="M345">
        <f t="shared" si="55"/>
        <v>4684.4999999999991</v>
      </c>
      <c r="N345">
        <f t="shared" si="56"/>
        <v>40.819724623759221</v>
      </c>
      <c r="O345">
        <f t="shared" si="57"/>
        <v>8.1438787490660705</v>
      </c>
      <c r="P345">
        <f t="shared" si="58"/>
        <v>4.241647988045683</v>
      </c>
      <c r="Q345">
        <f t="shared" si="59"/>
        <v>10.786636780873094</v>
      </c>
      <c r="R345">
        <f t="shared" si="60"/>
        <v>7.1128188707439435</v>
      </c>
      <c r="S345">
        <f t="shared" si="61"/>
        <v>3.8083039812146446</v>
      </c>
      <c r="T345">
        <f t="shared" si="62"/>
        <v>3.6844914078343476</v>
      </c>
      <c r="U345">
        <f t="shared" si="63"/>
        <v>3.3664211762194474</v>
      </c>
      <c r="V345">
        <f t="shared" si="64"/>
        <v>18.036076422243571</v>
      </c>
      <c r="W345">
        <f t="shared" si="65"/>
        <v>100.00000000000001</v>
      </c>
    </row>
    <row r="346" spans="1:23" x14ac:dyDescent="0.3">
      <c r="A346" t="s">
        <v>33</v>
      </c>
      <c r="B346">
        <v>2022</v>
      </c>
      <c r="C346" t="s">
        <v>40</v>
      </c>
      <c r="D346">
        <f>'All_India_Index_Upto_April23 (1'!D346+'All_India_Index_Upto_April23 (1'!G346+'All_India_Index_Upto_April23 (1'!H346+'All_India_Index_Upto_April23 (1'!I346+'All_India_Index_Upto_April23 (1'!J346+'All_India_Index_Upto_April23 (1'!K346+'All_India_Index_Upto_April23 (1'!L346+'All_India_Index_Upto_April23 (1'!M346+'All_India_Index_Upto_April23 (1'!N346+'All_India_Index_Upto_April23 (1'!O346+'All_India_Index_Upto_April23 (1'!P346</f>
        <v>1893.4999999999998</v>
      </c>
      <c r="E346">
        <f>'All_India_Index_Upto_April23 (1'!E346+'All_India_Index_Upto_April23 (1'!F346</f>
        <v>375.7</v>
      </c>
      <c r="F346">
        <v>195</v>
      </c>
      <c r="G346">
        <f>'All_India_Index_Upto_April23 (1'!R346+'All_India_Index_Upto_April23 (1'!S346+'All_India_Index_Upto_April23 (1'!T346</f>
        <v>530.70000000000005</v>
      </c>
      <c r="H346">
        <f>'All_India_Index_Upto_April23 (1'!U346+'All_India_Index_Upto_April23 (1'!W346</f>
        <v>337.5</v>
      </c>
      <c r="I346">
        <v>178.8</v>
      </c>
      <c r="J346">
        <v>176.8</v>
      </c>
      <c r="K346">
        <v>161.9</v>
      </c>
      <c r="L346">
        <f>'All_India_Index_Upto_April23 (1'!Z346+'All_India_Index_Upto_April23 (1'!AA346+'All_India_Index_Upto_April23 (1'!AB346+'All_India_Index_Upto_April23 (1'!AC346+'All_India_Index_Upto_April23 (1'!AD346</f>
        <v>853.8</v>
      </c>
      <c r="M346">
        <f t="shared" si="55"/>
        <v>4703.7</v>
      </c>
      <c r="N346">
        <f t="shared" si="56"/>
        <v>40.255543508301969</v>
      </c>
      <c r="O346">
        <f t="shared" si="57"/>
        <v>7.9873291238811994</v>
      </c>
      <c r="P346">
        <f t="shared" si="58"/>
        <v>4.1456725556476819</v>
      </c>
      <c r="Q346">
        <f t="shared" si="59"/>
        <v>11.282607309139616</v>
      </c>
      <c r="R346">
        <f t="shared" si="60"/>
        <v>7.1752025001594486</v>
      </c>
      <c r="S346">
        <f t="shared" si="61"/>
        <v>3.8012628356400282</v>
      </c>
      <c r="T346">
        <f t="shared" si="62"/>
        <v>3.7587431171205652</v>
      </c>
      <c r="U346">
        <f t="shared" si="63"/>
        <v>3.4419712141505623</v>
      </c>
      <c r="V346">
        <f t="shared" si="64"/>
        <v>18.151667835958925</v>
      </c>
      <c r="W346">
        <f t="shared" si="65"/>
        <v>99.999999999999972</v>
      </c>
    </row>
    <row r="347" spans="1:23" x14ac:dyDescent="0.3">
      <c r="A347" t="s">
        <v>30</v>
      </c>
      <c r="B347">
        <v>2022</v>
      </c>
      <c r="C347" t="s">
        <v>41</v>
      </c>
      <c r="D347">
        <f>'All_India_Index_Upto_April23 (1'!D347+'All_India_Index_Upto_April23 (1'!G347+'All_India_Index_Upto_April23 (1'!H347+'All_India_Index_Upto_April23 (1'!I347+'All_India_Index_Upto_April23 (1'!J347+'All_India_Index_Upto_April23 (1'!K347+'All_India_Index_Upto_April23 (1'!L347+'All_India_Index_Upto_April23 (1'!M347+'All_India_Index_Upto_April23 (1'!N347+'All_India_Index_Upto_April23 (1'!O347+'All_India_Index_Upto_April23 (1'!P347</f>
        <v>1892.1</v>
      </c>
      <c r="E347">
        <f>'All_India_Index_Upto_April23 (1'!E347+'All_India_Index_Upto_April23 (1'!F347</f>
        <v>375.7</v>
      </c>
      <c r="F347">
        <v>194.5</v>
      </c>
      <c r="G347">
        <f>'All_India_Index_Upto_April23 (1'!R347+'All_India_Index_Upto_April23 (1'!S347+'All_India_Index_Upto_April23 (1'!T347</f>
        <v>552.5</v>
      </c>
      <c r="H347">
        <f>'All_India_Index_Upto_April23 (1'!U347+'All_India_Index_Upto_April23 (1'!W347</f>
        <v>173.6</v>
      </c>
      <c r="I347">
        <v>179.7</v>
      </c>
      <c r="J347">
        <v>180.2</v>
      </c>
      <c r="K347">
        <v>166.9</v>
      </c>
      <c r="L347">
        <f>'All_India_Index_Upto_April23 (1'!Z347+'All_India_Index_Upto_April23 (1'!AA347+'All_India_Index_Upto_April23 (1'!AB347+'All_India_Index_Upto_April23 (1'!AC347+'All_India_Index_Upto_April23 (1'!AD347</f>
        <v>866.5</v>
      </c>
      <c r="M347">
        <f t="shared" si="55"/>
        <v>4581.6999999999989</v>
      </c>
      <c r="N347">
        <f t="shared" si="56"/>
        <v>41.296898531112916</v>
      </c>
      <c r="O347">
        <f t="shared" si="57"/>
        <v>8.2000130955758799</v>
      </c>
      <c r="P347">
        <f t="shared" si="58"/>
        <v>4.2451491804352104</v>
      </c>
      <c r="Q347">
        <f t="shared" si="59"/>
        <v>12.058842787611589</v>
      </c>
      <c r="R347">
        <f t="shared" si="60"/>
        <v>3.7889866206866456</v>
      </c>
      <c r="S347">
        <f t="shared" si="61"/>
        <v>3.9221249754457963</v>
      </c>
      <c r="T347">
        <f t="shared" si="62"/>
        <v>3.9330379553440866</v>
      </c>
      <c r="U347">
        <f t="shared" si="63"/>
        <v>3.6427526900495457</v>
      </c>
      <c r="V347">
        <f t="shared" si="64"/>
        <v>18.912194163738356</v>
      </c>
      <c r="W347">
        <f t="shared" si="65"/>
        <v>100.00000000000003</v>
      </c>
    </row>
    <row r="348" spans="1:23" x14ac:dyDescent="0.3">
      <c r="A348" t="s">
        <v>32</v>
      </c>
      <c r="B348">
        <v>2022</v>
      </c>
      <c r="C348" t="s">
        <v>41</v>
      </c>
      <c r="D348">
        <f>'All_India_Index_Upto_April23 (1'!D348+'All_India_Index_Upto_April23 (1'!G348+'All_India_Index_Upto_April23 (1'!H348+'All_India_Index_Upto_April23 (1'!I348+'All_India_Index_Upto_April23 (1'!J348+'All_India_Index_Upto_April23 (1'!K348+'All_India_Index_Upto_April23 (1'!L348+'All_India_Index_Upto_April23 (1'!M348+'All_India_Index_Upto_April23 (1'!N348+'All_India_Index_Upto_April23 (1'!O348+'All_India_Index_Upto_April23 (1'!P348</f>
        <v>1921.7999999999997</v>
      </c>
      <c r="E348">
        <f>'All_India_Index_Upto_April23 (1'!E348+'All_India_Index_Upto_April23 (1'!F348</f>
        <v>384.6</v>
      </c>
      <c r="F348">
        <v>199.7</v>
      </c>
      <c r="G348">
        <f>'All_India_Index_Upto_April23 (1'!R348+'All_India_Index_Upto_April23 (1'!S348+'All_India_Index_Upto_April23 (1'!T348</f>
        <v>509.7</v>
      </c>
      <c r="H348">
        <f>'All_India_Index_Upto_April23 (1'!U348+'All_India_Index_Upto_April23 (1'!W348</f>
        <v>334.5</v>
      </c>
      <c r="I348">
        <v>179.2</v>
      </c>
      <c r="J348">
        <v>173.8</v>
      </c>
      <c r="K348">
        <v>158.19999999999999</v>
      </c>
      <c r="L348">
        <f>'All_India_Index_Upto_April23 (1'!Z348+'All_India_Index_Upto_April23 (1'!AA348+'All_India_Index_Upto_April23 (1'!AB348+'All_India_Index_Upto_April23 (1'!AC348+'All_India_Index_Upto_April23 (1'!AD348</f>
        <v>848.00000000000011</v>
      </c>
      <c r="M348">
        <f t="shared" si="55"/>
        <v>4709.4999999999991</v>
      </c>
      <c r="N348">
        <f t="shared" si="56"/>
        <v>40.806879711222003</v>
      </c>
      <c r="O348">
        <f t="shared" si="57"/>
        <v>8.1664720246310658</v>
      </c>
      <c r="P348">
        <f t="shared" si="58"/>
        <v>4.2403652192377113</v>
      </c>
      <c r="Q348">
        <f t="shared" si="59"/>
        <v>10.822804968680328</v>
      </c>
      <c r="R348">
        <f t="shared" si="60"/>
        <v>7.1026648264146957</v>
      </c>
      <c r="S348">
        <f t="shared" si="61"/>
        <v>3.805074848710055</v>
      </c>
      <c r="T348">
        <f t="shared" si="62"/>
        <v>3.6904129950100866</v>
      </c>
      <c r="U348">
        <f t="shared" si="63"/>
        <v>3.3591676398768451</v>
      </c>
      <c r="V348">
        <f t="shared" si="64"/>
        <v>18.006157766217225</v>
      </c>
      <c r="W348">
        <f t="shared" si="65"/>
        <v>100.00000000000001</v>
      </c>
    </row>
    <row r="349" spans="1:23" x14ac:dyDescent="0.3">
      <c r="A349" t="s">
        <v>33</v>
      </c>
      <c r="B349">
        <v>2022</v>
      </c>
      <c r="C349" t="s">
        <v>41</v>
      </c>
      <c r="D349">
        <f>'All_India_Index_Upto_April23 (1'!D349+'All_India_Index_Upto_April23 (1'!G349+'All_India_Index_Upto_April23 (1'!H349+'All_India_Index_Upto_April23 (1'!I349+'All_India_Index_Upto_April23 (1'!J349+'All_India_Index_Upto_April23 (1'!K349+'All_India_Index_Upto_April23 (1'!L349+'All_India_Index_Upto_April23 (1'!M349+'All_India_Index_Upto_April23 (1'!N349+'All_India_Index_Upto_April23 (1'!O349+'All_India_Index_Upto_April23 (1'!P349</f>
        <v>1901.9999999999998</v>
      </c>
      <c r="E349">
        <f>'All_India_Index_Upto_April23 (1'!E349+'All_India_Index_Upto_April23 (1'!F349</f>
        <v>378.9</v>
      </c>
      <c r="F349">
        <v>195.9</v>
      </c>
      <c r="G349">
        <f>'All_India_Index_Upto_April23 (1'!R349+'All_India_Index_Upto_April23 (1'!S349+'All_India_Index_Upto_April23 (1'!T349</f>
        <v>535.1</v>
      </c>
      <c r="H349">
        <f>'All_India_Index_Upto_April23 (1'!U349+'All_India_Index_Upto_April23 (1'!W349</f>
        <v>339</v>
      </c>
      <c r="I349">
        <v>179.5</v>
      </c>
      <c r="J349">
        <v>177.8</v>
      </c>
      <c r="K349">
        <v>162.30000000000001</v>
      </c>
      <c r="L349">
        <f>'All_India_Index_Upto_April23 (1'!Z349+'All_India_Index_Upto_April23 (1'!AA349+'All_India_Index_Upto_April23 (1'!AB349+'All_India_Index_Upto_April23 (1'!AC349+'All_India_Index_Upto_April23 (1'!AD349</f>
        <v>856.59999999999991</v>
      </c>
      <c r="M349">
        <f t="shared" si="55"/>
        <v>4727.1000000000004</v>
      </c>
      <c r="N349">
        <f t="shared" si="56"/>
        <v>40.236085549279679</v>
      </c>
      <c r="O349">
        <f t="shared" si="57"/>
        <v>8.0154851811893124</v>
      </c>
      <c r="P349">
        <f t="shared" si="58"/>
        <v>4.1441898838611406</v>
      </c>
      <c r="Q349">
        <f t="shared" si="59"/>
        <v>11.319836686340462</v>
      </c>
      <c r="R349">
        <f t="shared" si="60"/>
        <v>7.1714158786571041</v>
      </c>
      <c r="S349">
        <f t="shared" si="61"/>
        <v>3.7972541304393816</v>
      </c>
      <c r="T349">
        <f t="shared" si="62"/>
        <v>3.7612912779505403</v>
      </c>
      <c r="U349">
        <f t="shared" si="63"/>
        <v>3.4333946817287555</v>
      </c>
      <c r="V349">
        <f t="shared" si="64"/>
        <v>18.121046730553616</v>
      </c>
      <c r="W349">
        <f t="shared" si="65"/>
        <v>99.999999999999986</v>
      </c>
    </row>
    <row r="350" spans="1:23" x14ac:dyDescent="0.3">
      <c r="A350" t="s">
        <v>30</v>
      </c>
      <c r="B350">
        <v>2022</v>
      </c>
      <c r="C350" t="s">
        <v>42</v>
      </c>
      <c r="D350">
        <f>'All_India_Index_Upto_April23 (1'!D350+'All_India_Index_Upto_April23 (1'!G350+'All_India_Index_Upto_April23 (1'!H350+'All_India_Index_Upto_April23 (1'!I350+'All_India_Index_Upto_April23 (1'!J350+'All_India_Index_Upto_April23 (1'!K350+'All_India_Index_Upto_April23 (1'!L350+'All_India_Index_Upto_April23 (1'!M350+'All_India_Index_Upto_April23 (1'!N350+'All_India_Index_Upto_April23 (1'!O350+'All_India_Index_Upto_April23 (1'!P350</f>
        <v>1905.3999999999999</v>
      </c>
      <c r="E350">
        <f>'All_India_Index_Upto_April23 (1'!E350+'All_India_Index_Upto_April23 (1'!F350</f>
        <v>379.1</v>
      </c>
      <c r="F350">
        <v>194.9</v>
      </c>
      <c r="G350">
        <f>'All_India_Index_Upto_April23 (1'!R350+'All_India_Index_Upto_April23 (1'!S350+'All_India_Index_Upto_April23 (1'!T350</f>
        <v>556.4</v>
      </c>
      <c r="H350">
        <f>'All_India_Index_Upto_April23 (1'!U350+'All_India_Index_Upto_April23 (1'!W350</f>
        <v>174.4</v>
      </c>
      <c r="I350">
        <v>180.8</v>
      </c>
      <c r="J350">
        <v>181.2</v>
      </c>
      <c r="K350">
        <v>167.4</v>
      </c>
      <c r="L350">
        <f>'All_India_Index_Upto_April23 (1'!Z350+'All_India_Index_Upto_April23 (1'!AA350+'All_India_Index_Upto_April23 (1'!AB350+'All_India_Index_Upto_April23 (1'!AC350+'All_India_Index_Upto_April23 (1'!AD350</f>
        <v>870.9</v>
      </c>
      <c r="M350">
        <f t="shared" si="55"/>
        <v>4610.5</v>
      </c>
      <c r="N350">
        <f t="shared" si="56"/>
        <v>41.327404836785597</v>
      </c>
      <c r="O350">
        <f t="shared" si="57"/>
        <v>8.222535516755233</v>
      </c>
      <c r="P350">
        <f t="shared" si="58"/>
        <v>4.2273072334887756</v>
      </c>
      <c r="Q350">
        <f t="shared" si="59"/>
        <v>12.068105411560568</v>
      </c>
      <c r="R350">
        <f t="shared" si="60"/>
        <v>3.7826699924086329</v>
      </c>
      <c r="S350">
        <f t="shared" si="61"/>
        <v>3.9214835701117017</v>
      </c>
      <c r="T350">
        <f t="shared" si="62"/>
        <v>3.9301594187181434</v>
      </c>
      <c r="U350">
        <f t="shared" si="63"/>
        <v>3.6308426417959003</v>
      </c>
      <c r="V350">
        <f t="shared" si="64"/>
        <v>18.889491378375446</v>
      </c>
      <c r="W350">
        <f t="shared" si="65"/>
        <v>100</v>
      </c>
    </row>
    <row r="351" spans="1:23" x14ac:dyDescent="0.3">
      <c r="A351" t="s">
        <v>32</v>
      </c>
      <c r="B351">
        <v>2022</v>
      </c>
      <c r="C351" t="s">
        <v>42</v>
      </c>
      <c r="D351">
        <f>'All_India_Index_Upto_April23 (1'!D351+'All_India_Index_Upto_April23 (1'!G351+'All_India_Index_Upto_April23 (1'!H351+'All_India_Index_Upto_April23 (1'!I351+'All_India_Index_Upto_April23 (1'!J351+'All_India_Index_Upto_April23 (1'!K351+'All_India_Index_Upto_April23 (1'!L351+'All_India_Index_Upto_April23 (1'!M351+'All_India_Index_Upto_April23 (1'!N351+'All_India_Index_Upto_April23 (1'!O351+'All_India_Index_Upto_April23 (1'!P351</f>
        <v>1935.5</v>
      </c>
      <c r="E351">
        <f>'All_India_Index_Upto_April23 (1'!E351+'All_India_Index_Upto_April23 (1'!F351</f>
        <v>386.8</v>
      </c>
      <c r="F351">
        <v>200.1</v>
      </c>
      <c r="G351">
        <f>'All_India_Index_Upto_April23 (1'!R351+'All_India_Index_Upto_April23 (1'!S351+'All_India_Index_Upto_April23 (1'!T351</f>
        <v>511.70000000000005</v>
      </c>
      <c r="H351">
        <f>'All_India_Index_Upto_April23 (1'!U351+'All_India_Index_Upto_April23 (1'!W351</f>
        <v>337.2</v>
      </c>
      <c r="I351">
        <v>180</v>
      </c>
      <c r="J351">
        <v>174.7</v>
      </c>
      <c r="K351">
        <v>158.80000000000001</v>
      </c>
      <c r="L351">
        <f>'All_India_Index_Upto_April23 (1'!Z351+'All_India_Index_Upto_April23 (1'!AA351+'All_India_Index_Upto_April23 (1'!AB351+'All_India_Index_Upto_April23 (1'!AC351+'All_India_Index_Upto_April23 (1'!AD351</f>
        <v>851.90000000000009</v>
      </c>
      <c r="M351">
        <f t="shared" si="55"/>
        <v>4736.7000000000007</v>
      </c>
      <c r="N351">
        <f t="shared" si="56"/>
        <v>40.861781408997821</v>
      </c>
      <c r="O351">
        <f t="shared" si="57"/>
        <v>8.1660227584605316</v>
      </c>
      <c r="P351">
        <f t="shared" si="58"/>
        <v>4.2244600671353467</v>
      </c>
      <c r="Q351">
        <f t="shared" si="59"/>
        <v>10.802879641944813</v>
      </c>
      <c r="R351">
        <f t="shared" si="60"/>
        <v>7.1188802330736571</v>
      </c>
      <c r="S351">
        <f t="shared" si="61"/>
        <v>3.8001140034201022</v>
      </c>
      <c r="T351">
        <f t="shared" si="62"/>
        <v>3.6882217577638432</v>
      </c>
      <c r="U351">
        <f t="shared" si="63"/>
        <v>3.3525450207950684</v>
      </c>
      <c r="V351">
        <f t="shared" si="64"/>
        <v>17.985095108408807</v>
      </c>
      <c r="W351">
        <f t="shared" si="65"/>
        <v>100</v>
      </c>
    </row>
    <row r="352" spans="1:23" x14ac:dyDescent="0.3">
      <c r="A352" t="s">
        <v>33</v>
      </c>
      <c r="B352">
        <v>2022</v>
      </c>
      <c r="C352" t="s">
        <v>42</v>
      </c>
      <c r="D352">
        <f>'All_India_Index_Upto_April23 (1'!D352+'All_India_Index_Upto_April23 (1'!G352+'All_India_Index_Upto_April23 (1'!H352+'All_India_Index_Upto_April23 (1'!I352+'All_India_Index_Upto_April23 (1'!J352+'All_India_Index_Upto_April23 (1'!K352+'All_India_Index_Upto_April23 (1'!L352+'All_India_Index_Upto_April23 (1'!M352+'All_India_Index_Upto_April23 (1'!N352+'All_India_Index_Upto_April23 (1'!O352+'All_India_Index_Upto_April23 (1'!P352</f>
        <v>1915.5000000000002</v>
      </c>
      <c r="E352">
        <f>'All_India_Index_Upto_April23 (1'!E352+'All_India_Index_Upto_April23 (1'!F352</f>
        <v>381.8</v>
      </c>
      <c r="F352">
        <v>196.3</v>
      </c>
      <c r="G352">
        <f>'All_India_Index_Upto_April23 (1'!R352+'All_India_Index_Upto_April23 (1'!S352+'All_India_Index_Upto_April23 (1'!T352</f>
        <v>538.20000000000005</v>
      </c>
      <c r="H352">
        <f>'All_India_Index_Upto_April23 (1'!U352+'All_India_Index_Upto_April23 (1'!W352</f>
        <v>341.6</v>
      </c>
      <c r="I352">
        <v>180.5</v>
      </c>
      <c r="J352">
        <v>178.7</v>
      </c>
      <c r="K352">
        <v>162.9</v>
      </c>
      <c r="L352">
        <f>'All_India_Index_Upto_April23 (1'!Z352+'All_India_Index_Upto_April23 (1'!AA352+'All_India_Index_Upto_April23 (1'!AB352+'All_India_Index_Upto_April23 (1'!AC352+'All_India_Index_Upto_April23 (1'!AD352</f>
        <v>860.90000000000009</v>
      </c>
      <c r="M352">
        <f t="shared" si="55"/>
        <v>4756.3999999999996</v>
      </c>
      <c r="N352">
        <f t="shared" si="56"/>
        <v>40.272054494996226</v>
      </c>
      <c r="O352">
        <f t="shared" si="57"/>
        <v>8.0270793036750501</v>
      </c>
      <c r="P352">
        <f t="shared" si="58"/>
        <v>4.1270708939534106</v>
      </c>
      <c r="Q352">
        <f t="shared" si="59"/>
        <v>11.315280464216636</v>
      </c>
      <c r="R352">
        <f t="shared" si="60"/>
        <v>7.1819022790345644</v>
      </c>
      <c r="S352">
        <f t="shared" si="61"/>
        <v>3.794886889243966</v>
      </c>
      <c r="T352">
        <f t="shared" si="62"/>
        <v>3.7570431418720038</v>
      </c>
      <c r="U352">
        <f t="shared" si="63"/>
        <v>3.4248591371625601</v>
      </c>
      <c r="V352">
        <f t="shared" si="64"/>
        <v>18.099823395845601</v>
      </c>
      <c r="W352">
        <f t="shared" si="65"/>
        <v>100.00000000000001</v>
      </c>
    </row>
    <row r="353" spans="1:23" x14ac:dyDescent="0.3">
      <c r="A353" t="s">
        <v>30</v>
      </c>
      <c r="B353">
        <v>2022</v>
      </c>
      <c r="C353" t="s">
        <v>44</v>
      </c>
      <c r="D353">
        <f>'All_India_Index_Upto_April23 (1'!D353+'All_India_Index_Upto_April23 (1'!G353+'All_India_Index_Upto_April23 (1'!H353+'All_India_Index_Upto_April23 (1'!I353+'All_India_Index_Upto_April23 (1'!J353+'All_India_Index_Upto_April23 (1'!K353+'All_India_Index_Upto_April23 (1'!L353+'All_India_Index_Upto_April23 (1'!M353+'All_India_Index_Upto_April23 (1'!N353+'All_India_Index_Upto_April23 (1'!O353+'All_India_Index_Upto_April23 (1'!P353</f>
        <v>1900.3000000000002</v>
      </c>
      <c r="E353">
        <f>'All_India_Index_Upto_April23 (1'!E353+'All_India_Index_Upto_April23 (1'!F353</f>
        <v>387.4</v>
      </c>
      <c r="F353">
        <v>195.5</v>
      </c>
      <c r="G353">
        <f>'All_India_Index_Upto_April23 (1'!R353+'All_India_Index_Upto_April23 (1'!S353+'All_India_Index_Upto_April23 (1'!T353</f>
        <v>559.29999999999995</v>
      </c>
      <c r="H353">
        <f>'All_India_Index_Upto_April23 (1'!U353+'All_India_Index_Upto_April23 (1'!W353</f>
        <v>175.5</v>
      </c>
      <c r="I353">
        <v>181.9</v>
      </c>
      <c r="J353">
        <v>182.3</v>
      </c>
      <c r="K353">
        <v>167.5</v>
      </c>
      <c r="L353">
        <f>'All_India_Index_Upto_April23 (1'!Z353+'All_India_Index_Upto_April23 (1'!AA353+'All_India_Index_Upto_April23 (1'!AB353+'All_India_Index_Upto_April23 (1'!AC353+'All_India_Index_Upto_April23 (1'!AD353</f>
        <v>873.5</v>
      </c>
      <c r="M353">
        <f t="shared" si="55"/>
        <v>4623.2000000000007</v>
      </c>
      <c r="N353">
        <f t="shared" si="56"/>
        <v>41.103564630558921</v>
      </c>
      <c r="O353">
        <f t="shared" si="57"/>
        <v>8.3794774182384479</v>
      </c>
      <c r="P353">
        <f t="shared" si="58"/>
        <v>4.2286727807579156</v>
      </c>
      <c r="Q353">
        <f t="shared" si="59"/>
        <v>12.097681259733516</v>
      </c>
      <c r="R353">
        <f t="shared" si="60"/>
        <v>3.7960719847724511</v>
      </c>
      <c r="S353">
        <f t="shared" si="61"/>
        <v>3.9345042394878003</v>
      </c>
      <c r="T353">
        <f t="shared" si="62"/>
        <v>3.9431562554075095</v>
      </c>
      <c r="U353">
        <f t="shared" si="63"/>
        <v>3.6230316663782651</v>
      </c>
      <c r="V353">
        <f t="shared" si="64"/>
        <v>18.893839764665163</v>
      </c>
      <c r="W353">
        <f t="shared" si="65"/>
        <v>100</v>
      </c>
    </row>
    <row r="354" spans="1:23" x14ac:dyDescent="0.3">
      <c r="A354" t="s">
        <v>32</v>
      </c>
      <c r="B354">
        <v>2022</v>
      </c>
      <c r="C354" t="s">
        <v>44</v>
      </c>
      <c r="D354">
        <f>'All_India_Index_Upto_April23 (1'!D354+'All_India_Index_Upto_April23 (1'!G354+'All_India_Index_Upto_April23 (1'!H354+'All_India_Index_Upto_April23 (1'!I354+'All_India_Index_Upto_April23 (1'!J354+'All_India_Index_Upto_April23 (1'!K354+'All_India_Index_Upto_April23 (1'!L354+'All_India_Index_Upto_April23 (1'!M354+'All_India_Index_Upto_April23 (1'!N354+'All_India_Index_Upto_April23 (1'!O354+'All_India_Index_Upto_April23 (1'!P354</f>
        <v>1917.8000000000002</v>
      </c>
      <c r="E354">
        <f>'All_India_Index_Upto_April23 (1'!E354+'All_India_Index_Upto_April23 (1'!F354</f>
        <v>396.6</v>
      </c>
      <c r="F354">
        <v>200.6</v>
      </c>
      <c r="G354">
        <f>'All_India_Index_Upto_April23 (1'!R354+'All_India_Index_Upto_April23 (1'!S354+'All_India_Index_Upto_April23 (1'!T354</f>
        <v>514.9</v>
      </c>
      <c r="H354">
        <f>'All_India_Index_Upto_April23 (1'!U354+'All_India_Index_Upto_April23 (1'!W354</f>
        <v>338.70000000000005</v>
      </c>
      <c r="I354">
        <v>180.3</v>
      </c>
      <c r="J354">
        <v>175.8</v>
      </c>
      <c r="K354">
        <v>158.9</v>
      </c>
      <c r="L354">
        <f>'All_India_Index_Upto_April23 (1'!Z354+'All_India_Index_Upto_April23 (1'!AA354+'All_India_Index_Upto_April23 (1'!AB354+'All_India_Index_Upto_April23 (1'!AC354+'All_India_Index_Upto_April23 (1'!AD354</f>
        <v>853.5</v>
      </c>
      <c r="M354">
        <f t="shared" si="55"/>
        <v>4737.1000000000004</v>
      </c>
      <c r="N354">
        <f t="shared" si="56"/>
        <v>40.484684722720651</v>
      </c>
      <c r="O354">
        <f t="shared" si="57"/>
        <v>8.3722108462983691</v>
      </c>
      <c r="P354">
        <f t="shared" si="58"/>
        <v>4.2346583352684126</v>
      </c>
      <c r="Q354">
        <f t="shared" si="59"/>
        <v>10.869519326170018</v>
      </c>
      <c r="R354">
        <f t="shared" si="60"/>
        <v>7.1499440586012541</v>
      </c>
      <c r="S354">
        <f t="shared" si="61"/>
        <v>3.8061261109117392</v>
      </c>
      <c r="T354">
        <f t="shared" si="62"/>
        <v>3.7111312828523779</v>
      </c>
      <c r="U354">
        <f t="shared" si="63"/>
        <v>3.3543729285849992</v>
      </c>
      <c r="V354">
        <f t="shared" si="64"/>
        <v>18.017352388592176</v>
      </c>
      <c r="W354">
        <f t="shared" si="65"/>
        <v>99.999999999999972</v>
      </c>
    </row>
    <row r="355" spans="1:23" x14ac:dyDescent="0.3">
      <c r="A355" t="s">
        <v>33</v>
      </c>
      <c r="B355">
        <v>2022</v>
      </c>
      <c r="C355" t="s">
        <v>44</v>
      </c>
      <c r="D355">
        <f>'All_India_Index_Upto_April23 (1'!D355+'All_India_Index_Upto_April23 (1'!G355+'All_India_Index_Upto_April23 (1'!H355+'All_India_Index_Upto_April23 (1'!I355+'All_India_Index_Upto_April23 (1'!J355+'All_India_Index_Upto_April23 (1'!K355+'All_India_Index_Upto_April23 (1'!L355+'All_India_Index_Upto_April23 (1'!M355+'All_India_Index_Upto_April23 (1'!N355+'All_India_Index_Upto_April23 (1'!O355+'All_India_Index_Upto_April23 (1'!P355</f>
        <v>1906</v>
      </c>
      <c r="E355">
        <f>'All_India_Index_Upto_April23 (1'!E355+'All_India_Index_Upto_April23 (1'!F355</f>
        <v>390.8</v>
      </c>
      <c r="F355">
        <v>196.9</v>
      </c>
      <c r="G355">
        <f>'All_India_Index_Upto_April23 (1'!R355+'All_India_Index_Upto_April23 (1'!S355+'All_India_Index_Upto_April23 (1'!T355</f>
        <v>541.4</v>
      </c>
      <c r="H355">
        <f>'All_India_Index_Upto_April23 (1'!U355+'All_India_Index_Upto_April23 (1'!W355</f>
        <v>343.20000000000005</v>
      </c>
      <c r="I355">
        <v>181.3</v>
      </c>
      <c r="J355">
        <v>179.8</v>
      </c>
      <c r="K355">
        <v>163</v>
      </c>
      <c r="L355">
        <f>'All_India_Index_Upto_April23 (1'!Z355+'All_India_Index_Upto_April23 (1'!AA355+'All_India_Index_Upto_April23 (1'!AB355+'All_India_Index_Upto_April23 (1'!AC355+'All_India_Index_Upto_April23 (1'!AD355</f>
        <v>863.4</v>
      </c>
      <c r="M355">
        <f t="shared" si="55"/>
        <v>4765.8</v>
      </c>
      <c r="N355">
        <f t="shared" si="56"/>
        <v>39.993285492467159</v>
      </c>
      <c r="O355">
        <f t="shared" si="57"/>
        <v>8.2000923244785771</v>
      </c>
      <c r="P355">
        <f t="shared" si="58"/>
        <v>4.131520416299467</v>
      </c>
      <c r="Q355">
        <f t="shared" si="59"/>
        <v>11.360107432120524</v>
      </c>
      <c r="R355">
        <f t="shared" si="60"/>
        <v>7.2013093289689039</v>
      </c>
      <c r="S355">
        <f t="shared" si="61"/>
        <v>3.8041881740736074</v>
      </c>
      <c r="T355">
        <f t="shared" si="62"/>
        <v>3.772713920013429</v>
      </c>
      <c r="U355">
        <f t="shared" si="63"/>
        <v>3.4202022745394265</v>
      </c>
      <c r="V355">
        <f t="shared" si="64"/>
        <v>18.116580637038901</v>
      </c>
      <c r="W355">
        <f t="shared" si="65"/>
        <v>99.999999999999972</v>
      </c>
    </row>
    <row r="356" spans="1:23" x14ac:dyDescent="0.3">
      <c r="A356" t="s">
        <v>30</v>
      </c>
      <c r="B356">
        <v>2022</v>
      </c>
      <c r="C356" t="s">
        <v>45</v>
      </c>
      <c r="D356">
        <f>'All_India_Index_Upto_April23 (1'!D356+'All_India_Index_Upto_April23 (1'!G356+'All_India_Index_Upto_April23 (1'!H356+'All_India_Index_Upto_April23 (1'!I356+'All_India_Index_Upto_April23 (1'!J356+'All_India_Index_Upto_April23 (1'!K356+'All_India_Index_Upto_April23 (1'!L356+'All_India_Index_Upto_April23 (1'!M356+'All_India_Index_Upto_April23 (1'!N356+'All_India_Index_Upto_April23 (1'!O356+'All_India_Index_Upto_April23 (1'!P356</f>
        <v>1881.1000000000001</v>
      </c>
      <c r="E356">
        <f>'All_India_Index_Upto_April23 (1'!E356+'All_India_Index_Upto_April23 (1'!F356</f>
        <v>396</v>
      </c>
      <c r="F356">
        <v>195.9</v>
      </c>
      <c r="G356">
        <f>'All_India_Index_Upto_April23 (1'!R356+'All_India_Index_Upto_April23 (1'!S356+'All_India_Index_Upto_April23 (1'!T356</f>
        <v>561.79999999999995</v>
      </c>
      <c r="H356">
        <f>'All_India_Index_Upto_April23 (1'!U356+'All_India_Index_Upto_April23 (1'!W356</f>
        <v>176.4</v>
      </c>
      <c r="I356">
        <v>182.8</v>
      </c>
      <c r="J356">
        <v>183.5</v>
      </c>
      <c r="K356">
        <v>167.8</v>
      </c>
      <c r="L356">
        <f>'All_India_Index_Upto_April23 (1'!Z356+'All_India_Index_Upto_April23 (1'!AA356+'All_India_Index_Upto_April23 (1'!AB356+'All_India_Index_Upto_April23 (1'!AC356+'All_India_Index_Upto_April23 (1'!AD356</f>
        <v>876.80000000000007</v>
      </c>
      <c r="M356">
        <f t="shared" si="55"/>
        <v>4622.1000000000004</v>
      </c>
      <c r="N356">
        <f t="shared" si="56"/>
        <v>40.6979511477467</v>
      </c>
      <c r="O356">
        <f t="shared" si="57"/>
        <v>8.5675342376841677</v>
      </c>
      <c r="P356">
        <f t="shared" si="58"/>
        <v>4.2383332251573957</v>
      </c>
      <c r="Q356">
        <f t="shared" si="59"/>
        <v>12.154648320027691</v>
      </c>
      <c r="R356">
        <f t="shared" si="60"/>
        <v>3.816447069513857</v>
      </c>
      <c r="S356">
        <f t="shared" si="61"/>
        <v>3.9549122693148133</v>
      </c>
      <c r="T356">
        <f t="shared" si="62"/>
        <v>3.9700569005430433</v>
      </c>
      <c r="U356">
        <f t="shared" si="63"/>
        <v>3.6303844572813224</v>
      </c>
      <c r="V356">
        <f t="shared" si="64"/>
        <v>18.969732372731009</v>
      </c>
      <c r="W356">
        <f t="shared" si="65"/>
        <v>100</v>
      </c>
    </row>
    <row r="357" spans="1:23" x14ac:dyDescent="0.3">
      <c r="A357" t="s">
        <v>32</v>
      </c>
      <c r="B357">
        <v>2022</v>
      </c>
      <c r="C357" t="s">
        <v>45</v>
      </c>
      <c r="D357">
        <f>'All_India_Index_Upto_April23 (1'!D357+'All_India_Index_Upto_April23 (1'!G357+'All_India_Index_Upto_April23 (1'!H357+'All_India_Index_Upto_April23 (1'!I357+'All_India_Index_Upto_April23 (1'!J357+'All_India_Index_Upto_April23 (1'!K357+'All_India_Index_Upto_April23 (1'!L357+'All_India_Index_Upto_April23 (1'!M357+'All_India_Index_Upto_April23 (1'!N357+'All_India_Index_Upto_April23 (1'!O357+'All_India_Index_Upto_April23 (1'!P357</f>
        <v>1890.9999999999998</v>
      </c>
      <c r="E357">
        <f>'All_India_Index_Upto_April23 (1'!E357+'All_India_Index_Upto_April23 (1'!F357</f>
        <v>404.8</v>
      </c>
      <c r="F357">
        <v>201.1</v>
      </c>
      <c r="G357">
        <f>'All_India_Index_Upto_April23 (1'!R357+'All_India_Index_Upto_April23 (1'!S357+'All_India_Index_Upto_April23 (1'!T357</f>
        <v>517.9</v>
      </c>
      <c r="H357">
        <f>'All_India_Index_Upto_April23 (1'!U357+'All_India_Index_Upto_April23 (1'!W357</f>
        <v>338</v>
      </c>
      <c r="I357">
        <v>180.6</v>
      </c>
      <c r="J357">
        <v>177.2</v>
      </c>
      <c r="K357">
        <v>159.4</v>
      </c>
      <c r="L357">
        <f>'All_India_Index_Upto_April23 (1'!Z357+'All_India_Index_Upto_April23 (1'!AA357+'All_India_Index_Upto_April23 (1'!AB357+'All_India_Index_Upto_April23 (1'!AC357+'All_India_Index_Upto_April23 (1'!AD357</f>
        <v>857.19999999999993</v>
      </c>
      <c r="M357">
        <f t="shared" si="55"/>
        <v>4727.2</v>
      </c>
      <c r="N357">
        <f t="shared" si="56"/>
        <v>40.002538500592316</v>
      </c>
      <c r="O357">
        <f t="shared" si="57"/>
        <v>8.5632086647486894</v>
      </c>
      <c r="P357">
        <f t="shared" si="58"/>
        <v>4.2541039092909116</v>
      </c>
      <c r="Q357">
        <f t="shared" si="59"/>
        <v>10.955745473007276</v>
      </c>
      <c r="R357">
        <f t="shared" si="60"/>
        <v>7.1501100016923331</v>
      </c>
      <c r="S357">
        <f t="shared" si="61"/>
        <v>3.820443391436791</v>
      </c>
      <c r="T357">
        <f t="shared" si="62"/>
        <v>3.7485192079878153</v>
      </c>
      <c r="U357">
        <f t="shared" si="63"/>
        <v>3.3719749534608225</v>
      </c>
      <c r="V357">
        <f t="shared" si="64"/>
        <v>18.133355897783044</v>
      </c>
      <c r="W357">
        <f t="shared" si="65"/>
        <v>100</v>
      </c>
    </row>
    <row r="358" spans="1:23" x14ac:dyDescent="0.3">
      <c r="A358" t="s">
        <v>33</v>
      </c>
      <c r="B358">
        <v>2022</v>
      </c>
      <c r="C358" t="s">
        <v>45</v>
      </c>
      <c r="D358">
        <f>'All_India_Index_Upto_April23 (1'!D358+'All_India_Index_Upto_April23 (1'!G358+'All_India_Index_Upto_April23 (1'!H358+'All_India_Index_Upto_April23 (1'!I358+'All_India_Index_Upto_April23 (1'!J358+'All_India_Index_Upto_April23 (1'!K358+'All_India_Index_Upto_April23 (1'!L358+'All_India_Index_Upto_April23 (1'!M358+'All_India_Index_Upto_April23 (1'!N358+'All_India_Index_Upto_April23 (1'!O358+'All_India_Index_Upto_April23 (1'!P358</f>
        <v>1884.2</v>
      </c>
      <c r="E358">
        <f>'All_India_Index_Upto_April23 (1'!E358+'All_India_Index_Upto_April23 (1'!F358</f>
        <v>399.2</v>
      </c>
      <c r="F358">
        <v>197.3</v>
      </c>
      <c r="G358">
        <f>'All_India_Index_Upto_April23 (1'!R358+'All_India_Index_Upto_April23 (1'!S358+'All_India_Index_Upto_April23 (1'!T358</f>
        <v>544</v>
      </c>
      <c r="H358">
        <f>'All_India_Index_Upto_April23 (1'!U358+'All_India_Index_Upto_April23 (1'!W358</f>
        <v>342.79999999999995</v>
      </c>
      <c r="I358">
        <v>182</v>
      </c>
      <c r="J358">
        <v>181.1</v>
      </c>
      <c r="K358">
        <v>163.4</v>
      </c>
      <c r="L358">
        <f>'All_India_Index_Upto_April23 (1'!Z358+'All_India_Index_Upto_April23 (1'!AA358+'All_India_Index_Upto_April23 (1'!AB358+'All_India_Index_Upto_April23 (1'!AC358+'All_India_Index_Upto_April23 (1'!AD358</f>
        <v>866.5</v>
      </c>
      <c r="M358">
        <f t="shared" si="55"/>
        <v>4760.5</v>
      </c>
      <c r="N358">
        <f t="shared" si="56"/>
        <v>39.579876063438718</v>
      </c>
      <c r="O358">
        <f t="shared" si="57"/>
        <v>8.3856737737632603</v>
      </c>
      <c r="P358">
        <f t="shared" si="58"/>
        <v>4.1445226341770818</v>
      </c>
      <c r="Q358">
        <f t="shared" si="59"/>
        <v>11.427371074466967</v>
      </c>
      <c r="R358">
        <f t="shared" si="60"/>
        <v>7.2009242726604334</v>
      </c>
      <c r="S358">
        <f t="shared" si="61"/>
        <v>3.8231278227076988</v>
      </c>
      <c r="T358">
        <f t="shared" si="62"/>
        <v>3.8042222455624408</v>
      </c>
      <c r="U358">
        <f t="shared" si="63"/>
        <v>3.4324125617057035</v>
      </c>
      <c r="V358">
        <f t="shared" si="64"/>
        <v>18.201869551517696</v>
      </c>
      <c r="W358">
        <f t="shared" si="65"/>
        <v>100</v>
      </c>
    </row>
    <row r="359" spans="1:23" x14ac:dyDescent="0.3">
      <c r="A359" t="s">
        <v>30</v>
      </c>
      <c r="B359">
        <v>2023</v>
      </c>
      <c r="C359" t="s">
        <v>31</v>
      </c>
      <c r="D359">
        <f>'All_India_Index_Upto_April23 (1'!D359+'All_India_Index_Upto_April23 (1'!G359+'All_India_Index_Upto_April23 (1'!H359+'All_India_Index_Upto_April23 (1'!I359+'All_India_Index_Upto_April23 (1'!J359+'All_India_Index_Upto_April23 (1'!K359+'All_India_Index_Upto_April23 (1'!L359+'All_India_Index_Upto_April23 (1'!M359+'All_India_Index_Upto_April23 (1'!N359+'All_India_Index_Upto_April23 (1'!O359+'All_India_Index_Upto_April23 (1'!P359</f>
        <v>1882</v>
      </c>
      <c r="E359">
        <f>'All_India_Index_Upto_April23 (1'!E359+'All_India_Index_Upto_April23 (1'!F359</f>
        <v>401.20000000000005</v>
      </c>
      <c r="F359">
        <v>196.9</v>
      </c>
      <c r="G359">
        <f>'All_India_Index_Upto_April23 (1'!R359+'All_India_Index_Upto_April23 (1'!S359+'All_India_Index_Upto_April23 (1'!T359</f>
        <v>563.9</v>
      </c>
      <c r="H359">
        <f>'All_India_Index_Upto_April23 (1'!U359+'All_India_Index_Upto_April23 (1'!W359</f>
        <v>177.2</v>
      </c>
      <c r="I359">
        <v>183.2</v>
      </c>
      <c r="J359">
        <v>184.7</v>
      </c>
      <c r="K359">
        <v>168.2</v>
      </c>
      <c r="L359">
        <f>'All_India_Index_Upto_April23 (1'!Z359+'All_India_Index_Upto_April23 (1'!AA359+'All_India_Index_Upto_April23 (1'!AB359+'All_India_Index_Upto_April23 (1'!AC359+'All_India_Index_Upto_April23 (1'!AD359</f>
        <v>882.3</v>
      </c>
      <c r="M359">
        <f t="shared" si="55"/>
        <v>4639.5999999999995</v>
      </c>
      <c r="N359">
        <f t="shared" si="56"/>
        <v>40.563841710492291</v>
      </c>
      <c r="O359">
        <f t="shared" si="57"/>
        <v>8.6472971807914494</v>
      </c>
      <c r="P359">
        <f t="shared" si="58"/>
        <v>4.2439003362358836</v>
      </c>
      <c r="Q359">
        <f t="shared" si="59"/>
        <v>12.154065005603933</v>
      </c>
      <c r="R359">
        <f t="shared" si="60"/>
        <v>3.8192947667902404</v>
      </c>
      <c r="S359">
        <f t="shared" si="61"/>
        <v>3.9486162600224159</v>
      </c>
      <c r="T359">
        <f t="shared" si="62"/>
        <v>3.9809466333304599</v>
      </c>
      <c r="U359">
        <f t="shared" si="63"/>
        <v>3.6253125269419781</v>
      </c>
      <c r="V359">
        <f t="shared" si="64"/>
        <v>19.016725579791363</v>
      </c>
      <c r="W359">
        <f t="shared" si="65"/>
        <v>100.00000000000003</v>
      </c>
    </row>
    <row r="360" spans="1:23" x14ac:dyDescent="0.3">
      <c r="A360" t="s">
        <v>32</v>
      </c>
      <c r="B360">
        <v>2023</v>
      </c>
      <c r="C360" t="s">
        <v>31</v>
      </c>
      <c r="D360">
        <f>'All_India_Index_Upto_April23 (1'!D360+'All_India_Index_Upto_April23 (1'!G360+'All_India_Index_Upto_April23 (1'!H360+'All_India_Index_Upto_April23 (1'!I360+'All_India_Index_Upto_April23 (1'!J360+'All_India_Index_Upto_April23 (1'!K360+'All_India_Index_Upto_April23 (1'!L360+'All_India_Index_Upto_April23 (1'!M360+'All_India_Index_Upto_April23 (1'!N360+'All_India_Index_Upto_April23 (1'!O360+'All_India_Index_Upto_April23 (1'!P360</f>
        <v>1898</v>
      </c>
      <c r="E360">
        <f>'All_India_Index_Upto_April23 (1'!E360+'All_India_Index_Upto_April23 (1'!F360</f>
        <v>412.2</v>
      </c>
      <c r="F360">
        <v>201.6</v>
      </c>
      <c r="G360">
        <f>'All_India_Index_Upto_April23 (1'!R360+'All_India_Index_Upto_April23 (1'!S360+'All_India_Index_Upto_April23 (1'!T360</f>
        <v>520.6</v>
      </c>
      <c r="H360">
        <f>'All_India_Index_Upto_April23 (1'!U360+'All_India_Index_Upto_April23 (1'!W360</f>
        <v>340.1</v>
      </c>
      <c r="I360">
        <v>180.1</v>
      </c>
      <c r="J360">
        <v>178.5</v>
      </c>
      <c r="K360">
        <v>159.5</v>
      </c>
      <c r="L360">
        <f>'All_India_Index_Upto_April23 (1'!Z360+'All_India_Index_Upto_April23 (1'!AA360+'All_India_Index_Upto_April23 (1'!AB360+'All_India_Index_Upto_April23 (1'!AC360+'All_India_Index_Upto_April23 (1'!AD360</f>
        <v>862.2</v>
      </c>
      <c r="M360">
        <f t="shared" si="55"/>
        <v>4752.7999999999993</v>
      </c>
      <c r="N360">
        <f t="shared" si="56"/>
        <v>39.934354485776815</v>
      </c>
      <c r="O360">
        <f t="shared" si="57"/>
        <v>8.6727823598720768</v>
      </c>
      <c r="P360">
        <f t="shared" si="58"/>
        <v>4.2417101498064307</v>
      </c>
      <c r="Q360">
        <f t="shared" si="59"/>
        <v>10.953543174549742</v>
      </c>
      <c r="R360">
        <f t="shared" si="60"/>
        <v>7.155781854906583</v>
      </c>
      <c r="S360">
        <f t="shared" si="61"/>
        <v>3.789345228076082</v>
      </c>
      <c r="T360">
        <f t="shared" si="62"/>
        <v>3.7556808618077775</v>
      </c>
      <c r="U360">
        <f t="shared" si="63"/>
        <v>3.3559165123716554</v>
      </c>
      <c r="V360">
        <f t="shared" si="64"/>
        <v>18.140885372832859</v>
      </c>
      <c r="W360">
        <f t="shared" si="65"/>
        <v>100.00000000000001</v>
      </c>
    </row>
    <row r="361" spans="1:23" x14ac:dyDescent="0.3">
      <c r="A361" t="s">
        <v>33</v>
      </c>
      <c r="B361">
        <v>2023</v>
      </c>
      <c r="C361" t="s">
        <v>31</v>
      </c>
      <c r="D361">
        <f>'All_India_Index_Upto_April23 (1'!D361+'All_India_Index_Upto_April23 (1'!G361+'All_India_Index_Upto_April23 (1'!H361+'All_India_Index_Upto_April23 (1'!I361+'All_India_Index_Upto_April23 (1'!J361+'All_India_Index_Upto_April23 (1'!K361+'All_India_Index_Upto_April23 (1'!L361+'All_India_Index_Upto_April23 (1'!M361+'All_India_Index_Upto_April23 (1'!N361+'All_India_Index_Upto_April23 (1'!O361+'All_India_Index_Upto_April23 (1'!P361</f>
        <v>1887.5</v>
      </c>
      <c r="E361">
        <f>'All_India_Index_Upto_April23 (1'!E361+'All_India_Index_Upto_April23 (1'!F361</f>
        <v>405.2</v>
      </c>
      <c r="F361">
        <v>198.2</v>
      </c>
      <c r="G361">
        <f>'All_India_Index_Upto_April23 (1'!R361+'All_India_Index_Upto_April23 (1'!S361+'All_India_Index_Upto_April23 (1'!T361</f>
        <v>546.29999999999995</v>
      </c>
      <c r="H361">
        <f>'All_India_Index_Upto_April23 (1'!U361+'All_India_Index_Upto_April23 (1'!W361</f>
        <v>345</v>
      </c>
      <c r="I361">
        <v>182</v>
      </c>
      <c r="J361">
        <v>182.3</v>
      </c>
      <c r="K361">
        <v>163.6</v>
      </c>
      <c r="L361">
        <f>'All_India_Index_Upto_April23 (1'!Z361+'All_India_Index_Upto_April23 (1'!AA361+'All_India_Index_Upto_April23 (1'!AB361+'All_India_Index_Upto_April23 (1'!AC361+'All_India_Index_Upto_April23 (1'!AD361</f>
        <v>871.7</v>
      </c>
      <c r="M361">
        <f t="shared" si="55"/>
        <v>4781.8</v>
      </c>
      <c r="N361">
        <f t="shared" si="56"/>
        <v>39.472583545945042</v>
      </c>
      <c r="O361">
        <f t="shared" si="57"/>
        <v>8.4737964783136057</v>
      </c>
      <c r="P361">
        <f t="shared" si="58"/>
        <v>4.144882680162282</v>
      </c>
      <c r="Q361">
        <f t="shared" si="59"/>
        <v>11.424568154251535</v>
      </c>
      <c r="R361">
        <f t="shared" si="60"/>
        <v>7.2148563302522062</v>
      </c>
      <c r="S361">
        <f t="shared" si="61"/>
        <v>3.8060981220460914</v>
      </c>
      <c r="T361">
        <f t="shared" si="62"/>
        <v>3.8123719101593547</v>
      </c>
      <c r="U361">
        <f t="shared" si="63"/>
        <v>3.42130578443264</v>
      </c>
      <c r="V361">
        <f t="shared" si="64"/>
        <v>18.229536994437243</v>
      </c>
      <c r="W361">
        <f t="shared" si="65"/>
        <v>100</v>
      </c>
    </row>
    <row r="362" spans="1:23" x14ac:dyDescent="0.3">
      <c r="A362" t="s">
        <v>30</v>
      </c>
      <c r="B362">
        <v>2023</v>
      </c>
      <c r="C362" t="s">
        <v>34</v>
      </c>
      <c r="D362">
        <f>'All_India_Index_Upto_April23 (1'!D362+'All_India_Index_Upto_April23 (1'!G362+'All_India_Index_Upto_April23 (1'!H362+'All_India_Index_Upto_April23 (1'!I362+'All_India_Index_Upto_April23 (1'!J362+'All_India_Index_Upto_April23 (1'!K362+'All_India_Index_Upto_April23 (1'!L362+'All_India_Index_Upto_April23 (1'!M362+'All_India_Index_Upto_April23 (1'!N362+'All_India_Index_Upto_April23 (1'!O362+'All_India_Index_Upto_April23 (1'!P362</f>
        <v>1886.5999999999997</v>
      </c>
      <c r="E362">
        <f>'All_India_Index_Upto_April23 (1'!E362+'All_India_Index_Upto_April23 (1'!F362</f>
        <v>379.1</v>
      </c>
      <c r="F362">
        <v>198.3</v>
      </c>
      <c r="G362">
        <f>'All_India_Index_Upto_April23 (1'!R362+'All_India_Index_Upto_April23 (1'!S362+'All_India_Index_Upto_April23 (1'!T362</f>
        <v>566.6</v>
      </c>
      <c r="H362">
        <f>'All_India_Index_Upto_April23 (1'!U362+'All_India_Index_Upto_April23 (1'!W362</f>
        <v>178.6</v>
      </c>
      <c r="I362">
        <v>181.6</v>
      </c>
      <c r="J362">
        <v>186.6</v>
      </c>
      <c r="K362">
        <v>169</v>
      </c>
      <c r="L362">
        <f>'All_India_Index_Upto_April23 (1'!Z362+'All_India_Index_Upto_April23 (1'!AA362+'All_India_Index_Upto_April23 (1'!AB362+'All_India_Index_Upto_April23 (1'!AC362+'All_India_Index_Upto_April23 (1'!AD362</f>
        <v>887.9</v>
      </c>
      <c r="M362">
        <f t="shared" si="55"/>
        <v>4634.2999999999993</v>
      </c>
      <c r="N362">
        <f t="shared" si="56"/>
        <v>40.709492264203874</v>
      </c>
      <c r="O362">
        <f t="shared" si="57"/>
        <v>8.1803077055866069</v>
      </c>
      <c r="P362">
        <f t="shared" si="58"/>
        <v>4.2789633817405015</v>
      </c>
      <c r="Q362">
        <f t="shared" si="59"/>
        <v>12.226226183026565</v>
      </c>
      <c r="R362">
        <f t="shared" si="60"/>
        <v>3.8538722137108095</v>
      </c>
      <c r="S362">
        <f t="shared" si="61"/>
        <v>3.9186069093498483</v>
      </c>
      <c r="T362">
        <f t="shared" si="62"/>
        <v>4.0264980687482472</v>
      </c>
      <c r="U362">
        <f t="shared" si="63"/>
        <v>3.6467211876658836</v>
      </c>
      <c r="V362">
        <f t="shared" si="64"/>
        <v>19.159312085967677</v>
      </c>
      <c r="W362">
        <f t="shared" si="65"/>
        <v>100.00000000000003</v>
      </c>
    </row>
    <row r="363" spans="1:23" x14ac:dyDescent="0.3">
      <c r="A363" t="s">
        <v>32</v>
      </c>
      <c r="B363">
        <v>2023</v>
      </c>
      <c r="C363" t="s">
        <v>34</v>
      </c>
      <c r="D363">
        <f>'All_India_Index_Upto_April23 (1'!D363+'All_India_Index_Upto_April23 (1'!G363+'All_India_Index_Upto_April23 (1'!H363+'All_India_Index_Upto_April23 (1'!I363+'All_India_Index_Upto_April23 (1'!J363+'All_India_Index_Upto_April23 (1'!K363+'All_India_Index_Upto_April23 (1'!L363+'All_India_Index_Upto_April23 (1'!M363+'All_India_Index_Upto_April23 (1'!N363+'All_India_Index_Upto_April23 (1'!O363+'All_India_Index_Upto_April23 (1'!P363</f>
        <v>1913.8000000000002</v>
      </c>
      <c r="E363">
        <f>'All_India_Index_Upto_April23 (1'!E363+'All_India_Index_Upto_April23 (1'!F363</f>
        <v>389.4</v>
      </c>
      <c r="F363">
        <v>202.7</v>
      </c>
      <c r="G363">
        <f>'All_India_Index_Upto_April23 (1'!R363+'All_India_Index_Upto_April23 (1'!S363+'All_India_Index_Upto_April23 (1'!T363</f>
        <v>525.5</v>
      </c>
      <c r="H363">
        <f>'All_India_Index_Upto_April23 (1'!U363+'All_India_Index_Upto_April23 (1'!W363</f>
        <v>342.7</v>
      </c>
      <c r="I363">
        <v>182.8</v>
      </c>
      <c r="J363">
        <v>180.8</v>
      </c>
      <c r="K363">
        <v>159.80000000000001</v>
      </c>
      <c r="L363">
        <f>'All_India_Index_Upto_April23 (1'!Z363+'All_India_Index_Upto_April23 (1'!AA363+'All_India_Index_Upto_April23 (1'!AB363+'All_India_Index_Upto_April23 (1'!AC363+'All_India_Index_Upto_April23 (1'!AD363</f>
        <v>868.59999999999991</v>
      </c>
      <c r="M363">
        <f t="shared" si="55"/>
        <v>4766.1000000000004</v>
      </c>
      <c r="N363">
        <f t="shared" si="56"/>
        <v>40.154423952497851</v>
      </c>
      <c r="O363">
        <f t="shared" si="57"/>
        <v>8.1702020519921934</v>
      </c>
      <c r="P363">
        <f t="shared" si="58"/>
        <v>4.2529531482763678</v>
      </c>
      <c r="Q363">
        <f t="shared" si="59"/>
        <v>11.025786282285306</v>
      </c>
      <c r="R363">
        <f t="shared" si="60"/>
        <v>7.1903652881811126</v>
      </c>
      <c r="S363">
        <f t="shared" si="61"/>
        <v>3.8354209941041937</v>
      </c>
      <c r="T363">
        <f t="shared" si="62"/>
        <v>3.7934579635341263</v>
      </c>
      <c r="U363">
        <f t="shared" si="63"/>
        <v>3.3528461425484148</v>
      </c>
      <c r="V363">
        <f t="shared" si="64"/>
        <v>18.22454417658043</v>
      </c>
      <c r="W363">
        <f t="shared" si="65"/>
        <v>100</v>
      </c>
    </row>
    <row r="364" spans="1:23" x14ac:dyDescent="0.3">
      <c r="A364" t="s">
        <v>33</v>
      </c>
      <c r="B364">
        <v>2023</v>
      </c>
      <c r="C364" t="s">
        <v>34</v>
      </c>
      <c r="D364">
        <f>'All_India_Index_Upto_April23 (1'!D364+'All_India_Index_Upto_April23 (1'!G364+'All_India_Index_Upto_April23 (1'!H364+'All_India_Index_Upto_April23 (1'!I364+'All_India_Index_Upto_April23 (1'!J364+'All_India_Index_Upto_April23 (1'!K364+'All_India_Index_Upto_April23 (1'!L364+'All_India_Index_Upto_April23 (1'!M364+'All_India_Index_Upto_April23 (1'!N364+'All_India_Index_Upto_April23 (1'!O364+'All_India_Index_Upto_April23 (1'!P364</f>
        <v>1896.2</v>
      </c>
      <c r="E364">
        <f>'All_India_Index_Upto_April23 (1'!E364+'All_India_Index_Upto_April23 (1'!F364</f>
        <v>382.9</v>
      </c>
      <c r="F364">
        <v>199.5</v>
      </c>
      <c r="G364">
        <f>'All_India_Index_Upto_April23 (1'!R364+'All_India_Index_Upto_April23 (1'!S364+'All_India_Index_Upto_April23 (1'!T364</f>
        <v>550</v>
      </c>
      <c r="H364">
        <f>'All_India_Index_Upto_April23 (1'!U364+'All_India_Index_Upto_April23 (1'!W364</f>
        <v>347.7</v>
      </c>
      <c r="I364">
        <v>182.1</v>
      </c>
      <c r="J364">
        <v>184.4</v>
      </c>
      <c r="K364">
        <v>164.2</v>
      </c>
      <c r="L364">
        <f>'All_India_Index_Upto_April23 (1'!Z364+'All_India_Index_Upto_April23 (1'!AA364+'All_India_Index_Upto_April23 (1'!AB364+'All_India_Index_Upto_April23 (1'!AC364+'All_India_Index_Upto_April23 (1'!AD364</f>
        <v>877.59999999999991</v>
      </c>
      <c r="M364">
        <f t="shared" si="55"/>
        <v>4784.5999999999995</v>
      </c>
      <c r="N364">
        <f t="shared" si="56"/>
        <v>39.631317142498858</v>
      </c>
      <c r="O364">
        <f t="shared" si="57"/>
        <v>8.0027588513146348</v>
      </c>
      <c r="P364">
        <f t="shared" si="58"/>
        <v>4.169627555072525</v>
      </c>
      <c r="Q364">
        <f t="shared" si="59"/>
        <v>11.495213810976885</v>
      </c>
      <c r="R364">
        <f t="shared" si="60"/>
        <v>7.2670651674121149</v>
      </c>
      <c r="S364">
        <f t="shared" si="61"/>
        <v>3.8059607908707105</v>
      </c>
      <c r="T364">
        <f t="shared" si="62"/>
        <v>3.8540316849893412</v>
      </c>
      <c r="U364">
        <f t="shared" si="63"/>
        <v>3.4318438322952809</v>
      </c>
      <c r="V364">
        <f t="shared" si="64"/>
        <v>18.342181164569663</v>
      </c>
      <c r="W364">
        <f t="shared" si="65"/>
        <v>100.00000000000003</v>
      </c>
    </row>
    <row r="365" spans="1:23" x14ac:dyDescent="0.3">
      <c r="A365" t="s">
        <v>30</v>
      </c>
      <c r="B365">
        <v>2023</v>
      </c>
      <c r="C365" t="s">
        <v>35</v>
      </c>
      <c r="D365">
        <f>'All_India_Index_Upto_April23 (1'!D365+'All_India_Index_Upto_April23 (1'!G365+'All_India_Index_Upto_April23 (1'!H365+'All_India_Index_Upto_April23 (1'!I365+'All_India_Index_Upto_April23 (1'!J365+'All_India_Index_Upto_April23 (1'!K365+'All_India_Index_Upto_April23 (1'!L365+'All_India_Index_Upto_April23 (1'!M365+'All_India_Index_Upto_April23 (1'!N365+'All_India_Index_Upto_April23 (1'!O365+'All_India_Index_Upto_April23 (1'!P365</f>
        <v>1886.6999999999998</v>
      </c>
      <c r="E365">
        <f>'All_India_Index_Upto_April23 (1'!E365+'All_India_Index_Upto_April23 (1'!F365</f>
        <v>379.1</v>
      </c>
      <c r="F365">
        <v>198.4</v>
      </c>
      <c r="G365">
        <f>'All_India_Index_Upto_April23 (1'!R365+'All_India_Index_Upto_April23 (1'!S365+'All_India_Index_Upto_April23 (1'!T365</f>
        <v>566.6</v>
      </c>
      <c r="H365">
        <f>'All_India_Index_Upto_April23 (1'!U365+'All_India_Index_Upto_April23 (1'!W365</f>
        <v>178.6</v>
      </c>
      <c r="I365">
        <v>181.4</v>
      </c>
      <c r="J365">
        <v>186.6</v>
      </c>
      <c r="K365">
        <v>169</v>
      </c>
      <c r="L365">
        <f>'All_India_Index_Upto_April23 (1'!Z365+'All_India_Index_Upto_April23 (1'!AA365+'All_India_Index_Upto_April23 (1'!AB365+'All_India_Index_Upto_April23 (1'!AC365+'All_India_Index_Upto_April23 (1'!AD365</f>
        <v>887.9</v>
      </c>
      <c r="M365">
        <f t="shared" si="55"/>
        <v>4634.2999999999993</v>
      </c>
      <c r="N365">
        <f t="shared" si="56"/>
        <v>40.711650087391845</v>
      </c>
      <c r="O365">
        <f t="shared" si="57"/>
        <v>8.1803077055866069</v>
      </c>
      <c r="P365">
        <f t="shared" si="58"/>
        <v>4.2811212049284686</v>
      </c>
      <c r="Q365">
        <f t="shared" si="59"/>
        <v>12.226226183026565</v>
      </c>
      <c r="R365">
        <f t="shared" si="60"/>
        <v>3.8538722137108095</v>
      </c>
      <c r="S365">
        <f t="shared" si="61"/>
        <v>3.9142912629739124</v>
      </c>
      <c r="T365">
        <f t="shared" si="62"/>
        <v>4.0264980687482472</v>
      </c>
      <c r="U365">
        <f t="shared" si="63"/>
        <v>3.6467211876658836</v>
      </c>
      <c r="V365">
        <f t="shared" si="64"/>
        <v>19.159312085967677</v>
      </c>
      <c r="W365">
        <f t="shared" si="65"/>
        <v>100.00000000000003</v>
      </c>
    </row>
    <row r="366" spans="1:23" x14ac:dyDescent="0.3">
      <c r="A366" t="s">
        <v>32</v>
      </c>
      <c r="B366">
        <v>2023</v>
      </c>
      <c r="C366" t="s">
        <v>35</v>
      </c>
      <c r="D366">
        <f>'All_India_Index_Upto_April23 (1'!D366+'All_India_Index_Upto_April23 (1'!G366+'All_India_Index_Upto_April23 (1'!H366+'All_India_Index_Upto_April23 (1'!I366+'All_India_Index_Upto_April23 (1'!J366+'All_India_Index_Upto_April23 (1'!K366+'All_India_Index_Upto_April23 (1'!L366+'All_India_Index_Upto_April23 (1'!M366+'All_India_Index_Upto_April23 (1'!N366+'All_India_Index_Upto_April23 (1'!O366+'All_India_Index_Upto_April23 (1'!P366</f>
        <v>1914</v>
      </c>
      <c r="E366">
        <f>'All_India_Index_Upto_April23 (1'!E366+'All_India_Index_Upto_April23 (1'!F366</f>
        <v>389.4</v>
      </c>
      <c r="F366">
        <v>202.7</v>
      </c>
      <c r="G366">
        <f>'All_India_Index_Upto_April23 (1'!R366+'All_India_Index_Upto_April23 (1'!S366+'All_India_Index_Upto_April23 (1'!T366</f>
        <v>525.4</v>
      </c>
      <c r="H366">
        <f>'All_India_Index_Upto_April23 (1'!U366+'All_India_Index_Upto_April23 (1'!W366</f>
        <v>342.7</v>
      </c>
      <c r="I366">
        <v>182.6</v>
      </c>
      <c r="J366">
        <v>180.8</v>
      </c>
      <c r="K366">
        <v>159.80000000000001</v>
      </c>
      <c r="L366">
        <f>'All_India_Index_Upto_April23 (1'!Z366+'All_India_Index_Upto_April23 (1'!AA366+'All_India_Index_Upto_April23 (1'!AB366+'All_India_Index_Upto_April23 (1'!AC366+'All_India_Index_Upto_April23 (1'!AD366</f>
        <v>868.7</v>
      </c>
      <c r="M366">
        <f t="shared" si="55"/>
        <v>4766.1000000000004</v>
      </c>
      <c r="N366">
        <f t="shared" si="56"/>
        <v>40.158620255554858</v>
      </c>
      <c r="O366">
        <f t="shared" si="57"/>
        <v>8.1702020519921934</v>
      </c>
      <c r="P366">
        <f t="shared" si="58"/>
        <v>4.2529531482763678</v>
      </c>
      <c r="Q366">
        <f t="shared" si="59"/>
        <v>11.023688130756803</v>
      </c>
      <c r="R366">
        <f t="shared" si="60"/>
        <v>7.1903652881811126</v>
      </c>
      <c r="S366">
        <f t="shared" si="61"/>
        <v>3.8312246910471872</v>
      </c>
      <c r="T366">
        <f t="shared" si="62"/>
        <v>3.7934579635341263</v>
      </c>
      <c r="U366">
        <f t="shared" si="63"/>
        <v>3.3528461425484148</v>
      </c>
      <c r="V366">
        <f t="shared" si="64"/>
        <v>18.226642328108937</v>
      </c>
      <c r="W366">
        <f t="shared" si="65"/>
        <v>99.999999999999986</v>
      </c>
    </row>
    <row r="367" spans="1:23" x14ac:dyDescent="0.3">
      <c r="A367" t="s">
        <v>33</v>
      </c>
      <c r="B367">
        <v>2023</v>
      </c>
      <c r="C367" t="s">
        <v>35</v>
      </c>
      <c r="D367">
        <f>'All_India_Index_Upto_April23 (1'!D367+'All_India_Index_Upto_April23 (1'!G367+'All_India_Index_Upto_April23 (1'!H367+'All_India_Index_Upto_April23 (1'!I367+'All_India_Index_Upto_April23 (1'!J367+'All_India_Index_Upto_April23 (1'!K367+'All_India_Index_Upto_April23 (1'!L367+'All_India_Index_Upto_April23 (1'!M367+'All_India_Index_Upto_April23 (1'!N367+'All_India_Index_Upto_April23 (1'!O367+'All_India_Index_Upto_April23 (1'!P367</f>
        <v>1896.3</v>
      </c>
      <c r="E367">
        <f>'All_India_Index_Upto_April23 (1'!E367+'All_India_Index_Upto_April23 (1'!F367</f>
        <v>382.9</v>
      </c>
      <c r="F367">
        <v>199.5</v>
      </c>
      <c r="G367">
        <f>'All_India_Index_Upto_April23 (1'!R367+'All_India_Index_Upto_April23 (1'!S367+'All_India_Index_Upto_April23 (1'!T367</f>
        <v>549.9</v>
      </c>
      <c r="H367">
        <f>'All_India_Index_Upto_April23 (1'!U367+'All_India_Index_Upto_April23 (1'!W367</f>
        <v>347.7</v>
      </c>
      <c r="I367">
        <v>181.9</v>
      </c>
      <c r="J367">
        <v>184.4</v>
      </c>
      <c r="K367">
        <v>164.2</v>
      </c>
      <c r="L367">
        <f>'All_India_Index_Upto_April23 (1'!Z367+'All_India_Index_Upto_April23 (1'!AA367+'All_India_Index_Upto_April23 (1'!AB367+'All_India_Index_Upto_April23 (1'!AC367+'All_India_Index_Upto_April23 (1'!AD367</f>
        <v>877.59999999999991</v>
      </c>
      <c r="M367">
        <f t="shared" si="55"/>
        <v>4784.3999999999996</v>
      </c>
      <c r="N367">
        <f t="shared" si="56"/>
        <v>39.635063957863061</v>
      </c>
      <c r="O367">
        <f t="shared" si="57"/>
        <v>8.0030933868405647</v>
      </c>
      <c r="P367">
        <f t="shared" si="58"/>
        <v>4.1698018560321053</v>
      </c>
      <c r="Q367">
        <f t="shared" si="59"/>
        <v>11.493604213694507</v>
      </c>
      <c r="R367">
        <f t="shared" si="60"/>
        <v>7.267368949084525</v>
      </c>
      <c r="S367">
        <f t="shared" si="61"/>
        <v>3.8019396371540846</v>
      </c>
      <c r="T367">
        <f t="shared" si="62"/>
        <v>3.8541927932447124</v>
      </c>
      <c r="U367">
        <f t="shared" si="63"/>
        <v>3.4319872920324386</v>
      </c>
      <c r="V367">
        <f t="shared" si="64"/>
        <v>18.342947914054008</v>
      </c>
      <c r="W367">
        <f t="shared" si="65"/>
        <v>100</v>
      </c>
    </row>
    <row r="368" spans="1:23" x14ac:dyDescent="0.3">
      <c r="A368" t="s">
        <v>30</v>
      </c>
      <c r="B368">
        <v>2023</v>
      </c>
      <c r="C368" t="s">
        <v>36</v>
      </c>
      <c r="D368">
        <f>'All_India_Index_Upto_April23 (1'!D368+'All_India_Index_Upto_April23 (1'!G368+'All_India_Index_Upto_April23 (1'!H368+'All_India_Index_Upto_April23 (1'!I368+'All_India_Index_Upto_April23 (1'!J368+'All_India_Index_Upto_April23 (1'!K368+'All_India_Index_Upto_April23 (1'!L368+'All_India_Index_Upto_April23 (1'!M368+'All_India_Index_Upto_April23 (1'!N368+'All_India_Index_Upto_April23 (1'!O368+'All_India_Index_Upto_April23 (1'!P368</f>
        <v>1899.4</v>
      </c>
      <c r="E368">
        <f>'All_India_Index_Upto_April23 (1'!E368+'All_India_Index_Upto_April23 (1'!F368</f>
        <v>374.8</v>
      </c>
      <c r="F368">
        <v>199.5</v>
      </c>
      <c r="G368">
        <f>'All_India_Index_Upto_April23 (1'!R368+'All_India_Index_Upto_April23 (1'!S368+'All_India_Index_Upto_April23 (1'!T368</f>
        <v>568.20000000000005</v>
      </c>
      <c r="H368">
        <v>179.1</v>
      </c>
      <c r="I368">
        <v>181.5</v>
      </c>
      <c r="J368">
        <v>187.2</v>
      </c>
      <c r="K368">
        <v>169.4</v>
      </c>
      <c r="L368">
        <f>'All_India_Index_Upto_April23 (1'!Z368+'All_India_Index_Upto_April23 (1'!AA368+'All_India_Index_Upto_April23 (1'!AB368+'All_India_Index_Upto_April23 (1'!AC368+'All_India_Index_Upto_April23 (1'!AD368</f>
        <v>894.10000000000014</v>
      </c>
      <c r="M368">
        <f t="shared" si="55"/>
        <v>4653.2000000000007</v>
      </c>
      <c r="N368">
        <f t="shared" si="56"/>
        <v>40.819221181122664</v>
      </c>
      <c r="O368">
        <f t="shared" si="57"/>
        <v>8.0546720536405054</v>
      </c>
      <c r="P368">
        <f t="shared" si="58"/>
        <v>4.2873721310066184</v>
      </c>
      <c r="Q368">
        <f t="shared" si="59"/>
        <v>12.210951603197799</v>
      </c>
      <c r="R368">
        <f t="shared" si="60"/>
        <v>3.8489641537006785</v>
      </c>
      <c r="S368">
        <f t="shared" si="61"/>
        <v>3.9005415627954947</v>
      </c>
      <c r="T368">
        <f t="shared" si="62"/>
        <v>4.0230379093956836</v>
      </c>
      <c r="U368">
        <f t="shared" si="63"/>
        <v>3.6405054586091286</v>
      </c>
      <c r="V368">
        <f t="shared" si="64"/>
        <v>19.214733946531421</v>
      </c>
      <c r="W368">
        <f t="shared" si="65"/>
        <v>100</v>
      </c>
    </row>
    <row r="369" spans="1:23" x14ac:dyDescent="0.3">
      <c r="A369" t="s">
        <v>32</v>
      </c>
      <c r="B369">
        <v>2023</v>
      </c>
      <c r="C369" t="s">
        <v>36</v>
      </c>
      <c r="D369">
        <f>'All_India_Index_Upto_April23 (1'!D369+'All_India_Index_Upto_April23 (1'!G369+'All_India_Index_Upto_April23 (1'!H369+'All_India_Index_Upto_April23 (1'!I369+'All_India_Index_Upto_April23 (1'!J369+'All_India_Index_Upto_April23 (1'!K369+'All_India_Index_Upto_April23 (1'!L369+'All_India_Index_Upto_April23 (1'!M369+'All_India_Index_Upto_April23 (1'!N369+'All_India_Index_Upto_April23 (1'!O369+'All_India_Index_Upto_April23 (1'!P369</f>
        <v>1931.5999999999997</v>
      </c>
      <c r="E369">
        <f>'All_India_Index_Upto_April23 (1'!E369+'All_India_Index_Upto_April23 (1'!F369</f>
        <v>386.1</v>
      </c>
      <c r="F369">
        <v>203.5</v>
      </c>
      <c r="G369">
        <f>'All_India_Index_Upto_April23 (1'!R369+'All_India_Index_Upto_April23 (1'!S369+'All_India_Index_Upto_April23 (1'!T369</f>
        <v>527.6</v>
      </c>
      <c r="H369">
        <f>'All_India_Index_Upto_April23 (1'!U369+'All_India_Index_Upto_April23 (1'!W369</f>
        <v>344.79999999999995</v>
      </c>
      <c r="I369">
        <v>182.1</v>
      </c>
      <c r="J369">
        <v>181.5</v>
      </c>
      <c r="K369">
        <v>160.1</v>
      </c>
      <c r="L369">
        <f>'All_India_Index_Upto_April23 (1'!Z369+'All_India_Index_Upto_April23 (1'!AA369+'All_India_Index_Upto_April23 (1'!AB369+'All_India_Index_Upto_April23 (1'!AC369+'All_India_Index_Upto_April23 (1'!AD369</f>
        <v>875.69999999999993</v>
      </c>
      <c r="M369">
        <f t="shared" si="55"/>
        <v>4792.9999999999991</v>
      </c>
      <c r="N369">
        <f t="shared" si="56"/>
        <v>40.300438138952636</v>
      </c>
      <c r="O369">
        <f t="shared" si="57"/>
        <v>8.0554976006676426</v>
      </c>
      <c r="P369">
        <f t="shared" si="58"/>
        <v>4.2457750886709791</v>
      </c>
      <c r="Q369">
        <f t="shared" si="59"/>
        <v>11.007719591070314</v>
      </c>
      <c r="R369">
        <f t="shared" si="60"/>
        <v>7.1938243271437514</v>
      </c>
      <c r="S369">
        <f t="shared" si="61"/>
        <v>3.799290632171918</v>
      </c>
      <c r="T369">
        <f t="shared" si="62"/>
        <v>3.786772376382225</v>
      </c>
      <c r="U369">
        <f t="shared" si="63"/>
        <v>3.3402879198831634</v>
      </c>
      <c r="V369">
        <f t="shared" si="64"/>
        <v>18.270394325057378</v>
      </c>
      <c r="W369">
        <f t="shared" si="65"/>
        <v>100.00000000000003</v>
      </c>
    </row>
    <row r="370" spans="1:23" x14ac:dyDescent="0.3">
      <c r="A370" t="s">
        <v>33</v>
      </c>
      <c r="B370">
        <v>2023</v>
      </c>
      <c r="C370" t="s">
        <v>36</v>
      </c>
      <c r="D370">
        <f>'All_India_Index_Upto_April23 (1'!D370+'All_India_Index_Upto_April23 (1'!G370+'All_India_Index_Upto_April23 (1'!H370+'All_India_Index_Upto_April23 (1'!I370+'All_India_Index_Upto_April23 (1'!J370+'All_India_Index_Upto_April23 (1'!K370+'All_India_Index_Upto_April23 (1'!L370+'All_India_Index_Upto_April23 (1'!M370+'All_India_Index_Upto_April23 (1'!N370+'All_India_Index_Upto_April23 (1'!O370+'All_India_Index_Upto_April23 (1'!P370</f>
        <v>1910.7000000000003</v>
      </c>
      <c r="E370">
        <f>'All_India_Index_Upto_April23 (1'!E370+'All_India_Index_Upto_April23 (1'!F370</f>
        <v>378.9</v>
      </c>
      <c r="F370">
        <v>200.6</v>
      </c>
      <c r="G370">
        <f>'All_India_Index_Upto_April23 (1'!R370+'All_India_Index_Upto_April23 (1'!S370+'All_India_Index_Upto_April23 (1'!T370</f>
        <v>551.79999999999995</v>
      </c>
      <c r="H370">
        <f>'All_India_Index_Upto_April23 (1'!U370+'All_India_Index_Upto_April23 (1'!W370</f>
        <v>349.79999999999995</v>
      </c>
      <c r="I370">
        <v>181.7</v>
      </c>
      <c r="J370">
        <v>185</v>
      </c>
      <c r="K370">
        <v>164.5</v>
      </c>
      <c r="L370">
        <f>'All_India_Index_Upto_April23 (1'!Z370+'All_India_Index_Upto_April23 (1'!AA370+'All_India_Index_Upto_April23 (1'!AB370+'All_India_Index_Upto_April23 (1'!AC370+'All_India_Index_Upto_April23 (1'!AD370</f>
        <v>884.2</v>
      </c>
      <c r="M370">
        <f t="shared" si="55"/>
        <v>4807.2</v>
      </c>
      <c r="N370">
        <f t="shared" si="56"/>
        <v>39.746630054917631</v>
      </c>
      <c r="O370">
        <f t="shared" si="57"/>
        <v>7.8819271093359955</v>
      </c>
      <c r="P370">
        <f t="shared" si="58"/>
        <v>4.1729073057081045</v>
      </c>
      <c r="Q370">
        <f t="shared" si="59"/>
        <v>11.478615410218005</v>
      </c>
      <c r="R370">
        <f t="shared" si="60"/>
        <v>7.2765851223165239</v>
      </c>
      <c r="S370">
        <f t="shared" si="61"/>
        <v>3.77974704609752</v>
      </c>
      <c r="T370">
        <f t="shared" si="62"/>
        <v>3.8483940755533368</v>
      </c>
      <c r="U370">
        <f t="shared" si="63"/>
        <v>3.4219504077217509</v>
      </c>
      <c r="V370">
        <f t="shared" si="64"/>
        <v>18.393243468131139</v>
      </c>
      <c r="W370">
        <f t="shared" si="65"/>
        <v>100</v>
      </c>
    </row>
    <row r="371" spans="1:23" x14ac:dyDescent="0.3">
      <c r="A371" t="s">
        <v>30</v>
      </c>
      <c r="B371">
        <v>2023</v>
      </c>
      <c r="C371" t="s">
        <v>37</v>
      </c>
      <c r="D371">
        <f>'All_India_Index_Upto_April23 (1'!D371+'All_India_Index_Upto_April23 (1'!G371+'All_India_Index_Upto_April23 (1'!H371+'All_India_Index_Upto_April23 (1'!I371+'All_India_Index_Upto_April23 (1'!J371+'All_India_Index_Upto_April23 (1'!K371+'All_India_Index_Upto_April23 (1'!L371+'All_India_Index_Upto_April23 (1'!M371+'All_India_Index_Upto_April23 (1'!N371+'All_India_Index_Upto_April23 (1'!O371+'All_India_Index_Upto_April23 (1'!P371</f>
        <v>1908.1999999999998</v>
      </c>
      <c r="E371">
        <f>'All_India_Index_Upto_April23 (1'!E371+'All_India_Index_Upto_April23 (1'!F371</f>
        <v>382.5</v>
      </c>
      <c r="F371">
        <v>199.9</v>
      </c>
      <c r="G371">
        <f>'All_India_Index_Upto_April23 (1'!R371+'All_India_Index_Upto_April23 (1'!S371+'All_India_Index_Upto_April23 (1'!T371</f>
        <v>569.90000000000009</v>
      </c>
      <c r="H371">
        <v>179.8</v>
      </c>
      <c r="I371">
        <v>182.5</v>
      </c>
      <c r="J371">
        <v>187.8</v>
      </c>
      <c r="K371">
        <v>169.7</v>
      </c>
      <c r="L371">
        <f>'All_India_Index_Upto_April23 (1'!Z371+'All_India_Index_Upto_April23 (1'!AA371+'All_India_Index_Upto_April23 (1'!AB371+'All_India_Index_Upto_April23 (1'!AC371+'All_India_Index_Upto_April23 (1'!AD371</f>
        <v>898.3</v>
      </c>
      <c r="M371">
        <f t="shared" si="55"/>
        <v>4678.6000000000004</v>
      </c>
      <c r="N371">
        <f t="shared" si="56"/>
        <v>40.785705125464879</v>
      </c>
      <c r="O371">
        <f t="shared" si="57"/>
        <v>8.1755225922284449</v>
      </c>
      <c r="P371">
        <f t="shared" si="58"/>
        <v>4.2726456632325913</v>
      </c>
      <c r="Q371">
        <f t="shared" si="59"/>
        <v>12.180994314538539</v>
      </c>
      <c r="R371">
        <f t="shared" si="60"/>
        <v>3.843029966229214</v>
      </c>
      <c r="S371">
        <f t="shared" si="61"/>
        <v>3.9007395374684735</v>
      </c>
      <c r="T371">
        <f t="shared" si="62"/>
        <v>4.0140212884196131</v>
      </c>
      <c r="U371">
        <f t="shared" si="63"/>
        <v>3.6271534219638348</v>
      </c>
      <c r="V371">
        <f t="shared" si="64"/>
        <v>19.200188090454407</v>
      </c>
      <c r="W371">
        <f t="shared" si="65"/>
        <v>99.999999999999986</v>
      </c>
    </row>
    <row r="372" spans="1:23" x14ac:dyDescent="0.3">
      <c r="A372" t="s">
        <v>32</v>
      </c>
      <c r="B372">
        <v>2023</v>
      </c>
      <c r="C372" t="s">
        <v>37</v>
      </c>
      <c r="D372">
        <f>'All_India_Index_Upto_April23 (1'!D372+'All_India_Index_Upto_April23 (1'!G372+'All_India_Index_Upto_April23 (1'!H372+'All_India_Index_Upto_April23 (1'!I372+'All_India_Index_Upto_April23 (1'!J372+'All_India_Index_Upto_April23 (1'!K372+'All_India_Index_Upto_April23 (1'!L372+'All_India_Index_Upto_April23 (1'!M372+'All_India_Index_Upto_April23 (1'!N372+'All_India_Index_Upto_April23 (1'!O372+'All_India_Index_Upto_April23 (1'!P372</f>
        <v>1939.0000000000002</v>
      </c>
      <c r="E372">
        <f>'All_India_Index_Upto_April23 (1'!E372+'All_India_Index_Upto_April23 (1'!F372</f>
        <v>396.1</v>
      </c>
      <c r="F372">
        <v>204.2</v>
      </c>
      <c r="G372">
        <f>'All_India_Index_Upto_April23 (1'!R372+'All_India_Index_Upto_April23 (1'!S372+'All_India_Index_Upto_April23 (1'!T372</f>
        <v>528.70000000000005</v>
      </c>
      <c r="H372">
        <f>'All_India_Index_Upto_April23 (1'!U372+'All_India_Index_Upto_April23 (1'!W372</f>
        <v>345.7</v>
      </c>
      <c r="I372">
        <v>183.4</v>
      </c>
      <c r="J372">
        <v>182.2</v>
      </c>
      <c r="K372">
        <v>160.4</v>
      </c>
      <c r="L372">
        <f>'All_India_Index_Upto_April23 (1'!Z372+'All_India_Index_Upto_April23 (1'!AA372+'All_India_Index_Upto_April23 (1'!AB372+'All_India_Index_Upto_April23 (1'!AC372+'All_India_Index_Upto_April23 (1'!AD372</f>
        <v>879.40000000000009</v>
      </c>
      <c r="M372">
        <f t="shared" si="55"/>
        <v>4819.1000000000004</v>
      </c>
      <c r="N372">
        <f t="shared" si="56"/>
        <v>40.235728663028368</v>
      </c>
      <c r="O372">
        <f t="shared" si="57"/>
        <v>8.2193770621070321</v>
      </c>
      <c r="P372">
        <f t="shared" si="58"/>
        <v>4.2373057209852449</v>
      </c>
      <c r="Q372">
        <f t="shared" si="59"/>
        <v>10.970928181610674</v>
      </c>
      <c r="R372">
        <f t="shared" si="60"/>
        <v>7.173538627544561</v>
      </c>
      <c r="S372">
        <f t="shared" si="61"/>
        <v>3.8056898591023214</v>
      </c>
      <c r="T372">
        <f t="shared" si="62"/>
        <v>3.780788943993691</v>
      </c>
      <c r="U372">
        <f t="shared" si="63"/>
        <v>3.3284223195202425</v>
      </c>
      <c r="V372">
        <f t="shared" si="64"/>
        <v>18.248220622107862</v>
      </c>
      <c r="W372">
        <f t="shared" si="65"/>
        <v>99.999999999999986</v>
      </c>
    </row>
    <row r="373" spans="1:23" x14ac:dyDescent="0.3">
      <c r="A373" t="s">
        <v>33</v>
      </c>
      <c r="B373">
        <v>2023</v>
      </c>
      <c r="C373" t="s">
        <v>37</v>
      </c>
      <c r="D373">
        <f>'All_India_Index_Upto_April23 (1'!D373+'All_India_Index_Upto_April23 (1'!G373+'All_India_Index_Upto_April23 (1'!H373+'All_India_Index_Upto_April23 (1'!I373+'All_India_Index_Upto_April23 (1'!J373+'All_India_Index_Upto_April23 (1'!K373+'All_India_Index_Upto_April23 (1'!L373+'All_India_Index_Upto_April23 (1'!M373+'All_India_Index_Upto_April23 (1'!N373+'All_India_Index_Upto_April23 (1'!O373+'All_India_Index_Upto_April23 (1'!P373</f>
        <v>1919.4</v>
      </c>
      <c r="E373">
        <f>'All_India_Index_Upto_April23 (1'!E373+'All_India_Index_Upto_April23 (1'!F373</f>
        <v>387.5</v>
      </c>
      <c r="F373">
        <v>201</v>
      </c>
      <c r="G373">
        <f>'All_India_Index_Upto_April23 (1'!R373+'All_India_Index_Upto_April23 (1'!S373+'All_India_Index_Upto_April23 (1'!T373</f>
        <v>553.20000000000005</v>
      </c>
      <c r="H373">
        <f>'All_India_Index_Upto_April23 (1'!U373+'All_India_Index_Upto_April23 (1'!W373</f>
        <v>350.79999999999995</v>
      </c>
      <c r="I373">
        <v>182.8</v>
      </c>
      <c r="J373">
        <v>185.7</v>
      </c>
      <c r="K373">
        <v>164.8</v>
      </c>
      <c r="L373">
        <f>'All_India_Index_Upto_April23 (1'!Z373+'All_India_Index_Upto_April23 (1'!AA373+'All_India_Index_Upto_April23 (1'!AB373+'All_India_Index_Upto_April23 (1'!AC373+'All_India_Index_Upto_April23 (1'!AD373</f>
        <v>888.30000000000007</v>
      </c>
      <c r="M373">
        <f t="shared" si="55"/>
        <v>4833.5000000000009</v>
      </c>
      <c r="N373">
        <f t="shared" si="56"/>
        <v>39.710354815351188</v>
      </c>
      <c r="O373">
        <f t="shared" si="57"/>
        <v>8.0169649322437149</v>
      </c>
      <c r="P373">
        <f t="shared" si="58"/>
        <v>4.158477293886417</v>
      </c>
      <c r="Q373">
        <f t="shared" si="59"/>
        <v>11.44512258197993</v>
      </c>
      <c r="R373">
        <f t="shared" si="60"/>
        <v>7.2576807696286316</v>
      </c>
      <c r="S373">
        <f t="shared" si="61"/>
        <v>3.7819385538429708</v>
      </c>
      <c r="T373">
        <f t="shared" si="62"/>
        <v>3.8419364849487936</v>
      </c>
      <c r="U373">
        <f t="shared" si="63"/>
        <v>3.4095376021516492</v>
      </c>
      <c r="V373">
        <f t="shared" si="64"/>
        <v>18.377986965966688</v>
      </c>
      <c r="W373">
        <f t="shared" si="65"/>
        <v>99.999999999999986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52E4-3A28-4A4F-91B4-D82C8A65B9C3}">
  <dimension ref="A1:W373"/>
  <sheetViews>
    <sheetView workbookViewId="0">
      <selection activeCell="K15" sqref="K15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48</v>
      </c>
      <c r="E1" t="s">
        <v>49</v>
      </c>
      <c r="F1" t="s">
        <v>16</v>
      </c>
      <c r="G1" t="s">
        <v>50</v>
      </c>
      <c r="H1" t="s">
        <v>51</v>
      </c>
      <c r="I1" t="s">
        <v>21</v>
      </c>
      <c r="J1" t="s">
        <v>23</v>
      </c>
      <c r="K1" t="s">
        <v>24</v>
      </c>
      <c r="L1" t="s">
        <v>52</v>
      </c>
      <c r="M1" t="s">
        <v>53</v>
      </c>
      <c r="N1" t="s">
        <v>62</v>
      </c>
      <c r="O1" t="s">
        <v>72</v>
      </c>
      <c r="P1" t="s">
        <v>112</v>
      </c>
      <c r="Q1" t="s">
        <v>77</v>
      </c>
      <c r="R1" t="s">
        <v>76</v>
      </c>
      <c r="S1" t="s">
        <v>113</v>
      </c>
      <c r="T1" t="s">
        <v>63</v>
      </c>
      <c r="U1" t="s">
        <v>74</v>
      </c>
      <c r="V1" t="s">
        <v>98</v>
      </c>
      <c r="W1" t="s">
        <v>54</v>
      </c>
    </row>
    <row r="2" spans="1:23" x14ac:dyDescent="0.3">
      <c r="A2" t="s">
        <v>30</v>
      </c>
      <c r="B2">
        <v>2023</v>
      </c>
      <c r="C2" t="s">
        <v>37</v>
      </c>
      <c r="D2">
        <f>'All_India_Index_Upto_April23 (1'!D2+'All_India_Index_Upto_April23 (1'!G2+'All_India_Index_Upto_April23 (1'!H2+'All_India_Index_Upto_April23 (1'!I2+'All_India_Index_Upto_April23 (1'!J2+'All_India_Index_Upto_April23 (1'!K2+'All_India_Index_Upto_April23 (1'!L2+'All_India_Index_Upto_April23 (1'!M2+'All_India_Index_Upto_April23 (1'!N2+'All_India_Index_Upto_April23 (1'!O2+'All_India_Index_Upto_April23 (1'!P2</f>
        <v>1157.3</v>
      </c>
      <c r="E2">
        <f>'All_India_Index_Upto_April23 (1'!E2+'All_India_Index_Upto_April23 (1'!F2</f>
        <v>214.39999999999998</v>
      </c>
      <c r="F2">
        <v>199.9</v>
      </c>
      <c r="G2">
        <f>'All_India_Index_Upto_April23 (1'!R2+'All_India_Index_Upto_April23 (1'!S2+'All_India_Index_Upto_April23 (1'!T2</f>
        <v>318.70000000000005</v>
      </c>
      <c r="H2">
        <f>'All_India_Index_Upto_April23 (1'!U2+'All_India_Index_Upto_April23 (1'!W2</f>
        <v>104.8</v>
      </c>
      <c r="I2">
        <v>182.5</v>
      </c>
      <c r="J2">
        <v>187.8</v>
      </c>
      <c r="K2">
        <v>169.7</v>
      </c>
      <c r="L2">
        <f>'All_India_Index_Upto_April23 (1'!Z2+'All_India_Index_Upto_April23 (1'!AA2+'All_India_Index_Upto_April23 (1'!AB2+'All_India_Index_Upto_April23 (1'!AC2+'All_India_Index_Upto_April23 (1'!AD2</f>
        <v>521</v>
      </c>
      <c r="M2">
        <f t="shared" ref="M2:M4" si="0">D2+E2+F2+G2+H2+I2+J2+K2+L2</f>
        <v>3056.1</v>
      </c>
      <c r="N2">
        <f t="shared" ref="N2:N4" si="1">D2/M2*100</f>
        <v>37.868525244592782</v>
      </c>
      <c r="O2">
        <f t="shared" ref="O2:O4" si="2">E2/M2*100</f>
        <v>7.0154772422368366</v>
      </c>
      <c r="P2">
        <f t="shared" ref="P2:P4" si="3">F2/M2*100</f>
        <v>6.5410163279997384</v>
      </c>
      <c r="Q2">
        <f t="shared" ref="Q2:Q4" si="4">G2/M2*100</f>
        <v>10.428323680507837</v>
      </c>
      <c r="R2">
        <f t="shared" ref="R2:R4" si="5">H2/M2*100</f>
        <v>3.4292071594515887</v>
      </c>
      <c r="S2">
        <f t="shared" ref="S2:S4" si="6">I2/M2*100</f>
        <v>5.9716632309152189</v>
      </c>
      <c r="T2">
        <f t="shared" ref="T2:T4" si="7">J2/M2*100</f>
        <v>6.1450868754294694</v>
      </c>
      <c r="U2">
        <f t="shared" ref="U2:U4" si="8">K2/M2*100</f>
        <v>5.5528287686921241</v>
      </c>
      <c r="V2">
        <f t="shared" ref="V2:V4" si="9">L2/M2*100</f>
        <v>17.047871470174407</v>
      </c>
      <c r="W2">
        <f t="shared" ref="W2:W4" si="10">N2+O2+P2+Q2+R2+S2+T2+U2+V2</f>
        <v>100</v>
      </c>
    </row>
    <row r="3" spans="1:23" x14ac:dyDescent="0.3">
      <c r="A3" t="s">
        <v>32</v>
      </c>
      <c r="B3">
        <v>2023</v>
      </c>
      <c r="C3" t="s">
        <v>37</v>
      </c>
      <c r="D3">
        <f>'All_India_Index_Upto_April23 (1'!D3+'All_India_Index_Upto_April23 (1'!G3+'All_India_Index_Upto_April23 (1'!H3+'All_India_Index_Upto_April23 (1'!I3+'All_India_Index_Upto_April23 (1'!J3+'All_India_Index_Upto_April23 (1'!K3+'All_India_Index_Upto_April23 (1'!L3+'All_India_Index_Upto_April23 (1'!M3+'All_India_Index_Upto_April23 (1'!N3+'All_India_Index_Upto_April23 (1'!O3+'All_India_Index_Upto_April23 (1'!P3</f>
        <v>1154.3000000000002</v>
      </c>
      <c r="E3">
        <f>'All_India_Index_Upto_April23 (1'!E3+'All_India_Index_Upto_April23 (1'!F3</f>
        <v>222.1</v>
      </c>
      <c r="F3">
        <v>204.2</v>
      </c>
      <c r="G3">
        <f>'All_India_Index_Upto_April23 (1'!R3+'All_India_Index_Upto_April23 (1'!S3+'All_India_Index_Upto_April23 (1'!T3</f>
        <v>316.7</v>
      </c>
      <c r="H3">
        <f>'All_India_Index_Upto_April23 (1'!U3+'All_India_Index_Upto_April23 (1'!W3</f>
        <v>205.1</v>
      </c>
      <c r="I3">
        <v>183.4</v>
      </c>
      <c r="J3">
        <v>182.2</v>
      </c>
      <c r="K3">
        <v>160.4</v>
      </c>
      <c r="L3">
        <f>'All_India_Index_Upto_April23 (1'!Z3+'All_India_Index_Upto_April23 (1'!AA3+'All_India_Index_Upto_April23 (1'!AB3+'All_India_Index_Upto_April23 (1'!AC3+'All_India_Index_Upto_April23 (1'!AD3</f>
        <v>518.4</v>
      </c>
      <c r="M3">
        <f t="shared" si="0"/>
        <v>3146.8</v>
      </c>
      <c r="N3">
        <f t="shared" si="1"/>
        <v>36.681708402186352</v>
      </c>
      <c r="O3">
        <f t="shared" si="2"/>
        <v>7.0579636456082371</v>
      </c>
      <c r="P3">
        <f t="shared" si="3"/>
        <v>6.489131816448455</v>
      </c>
      <c r="Q3">
        <f t="shared" si="4"/>
        <v>10.064192195245964</v>
      </c>
      <c r="R3">
        <f t="shared" si="5"/>
        <v>6.5177322994788343</v>
      </c>
      <c r="S3">
        <f t="shared" si="6"/>
        <v>5.8281428753018938</v>
      </c>
      <c r="T3">
        <f t="shared" si="7"/>
        <v>5.7900088979280531</v>
      </c>
      <c r="U3">
        <f t="shared" si="8"/>
        <v>5.0972416423032918</v>
      </c>
      <c r="V3">
        <f t="shared" si="9"/>
        <v>16.473878225498918</v>
      </c>
      <c r="W3">
        <f t="shared" si="10"/>
        <v>100</v>
      </c>
    </row>
    <row r="4" spans="1:23" x14ac:dyDescent="0.3">
      <c r="A4" t="s">
        <v>33</v>
      </c>
      <c r="B4">
        <v>2023</v>
      </c>
      <c r="C4" t="s">
        <v>37</v>
      </c>
      <c r="D4">
        <f>'All_India_Index_Upto_April23 (1'!D4+'All_India_Index_Upto_April23 (1'!G4+'All_India_Index_Upto_April23 (1'!H4+'All_India_Index_Upto_April23 (1'!I4+'All_India_Index_Upto_April23 (1'!J4+'All_India_Index_Upto_April23 (1'!K4+'All_India_Index_Upto_April23 (1'!L4+'All_India_Index_Upto_April23 (1'!M4+'All_India_Index_Upto_April23 (1'!N4+'All_India_Index_Upto_April23 (1'!O4+'All_India_Index_Upto_April23 (1'!P4</f>
        <v>1156</v>
      </c>
      <c r="E4">
        <f>'All_India_Index_Upto_April23 (1'!E4+'All_India_Index_Upto_April23 (1'!F4</f>
        <v>217.3</v>
      </c>
      <c r="F4">
        <v>201</v>
      </c>
      <c r="G4">
        <f>'All_India_Index_Upto_April23 (1'!R4+'All_India_Index_Upto_April23 (1'!S4+'All_India_Index_Upto_April23 (1'!T4</f>
        <v>318</v>
      </c>
      <c r="H4">
        <f>'All_India_Index_Upto_April23 (1'!U4+'All_India_Index_Upto_April23 (1'!W4</f>
        <v>205.1</v>
      </c>
      <c r="I4">
        <v>182.8</v>
      </c>
      <c r="J4">
        <v>185.7</v>
      </c>
      <c r="K4">
        <v>164.8</v>
      </c>
      <c r="L4">
        <f>'All_India_Index_Upto_April23 (1'!Z4+'All_India_Index_Upto_April23 (1'!AA4+'All_India_Index_Upto_April23 (1'!AB4+'All_India_Index_Upto_April23 (1'!AC4+'All_India_Index_Upto_April23 (1'!AD4</f>
        <v>519.70000000000005</v>
      </c>
      <c r="M4">
        <f t="shared" si="0"/>
        <v>3150.4000000000005</v>
      </c>
      <c r="N4">
        <f t="shared" si="1"/>
        <v>36.693753174200097</v>
      </c>
      <c r="O4">
        <f t="shared" si="2"/>
        <v>6.8975368207211769</v>
      </c>
      <c r="P4">
        <f t="shared" si="3"/>
        <v>6.3801422041645486</v>
      </c>
      <c r="Q4">
        <f t="shared" si="4"/>
        <v>10.0939563230066</v>
      </c>
      <c r="R4">
        <f t="shared" si="5"/>
        <v>6.5102844083290989</v>
      </c>
      <c r="S4">
        <f t="shared" si="6"/>
        <v>5.8024377856780083</v>
      </c>
      <c r="T4">
        <f t="shared" si="7"/>
        <v>5.8944895886236655</v>
      </c>
      <c r="U4">
        <f t="shared" si="8"/>
        <v>5.2310817673946159</v>
      </c>
      <c r="V4">
        <f t="shared" si="9"/>
        <v>16.496317927882174</v>
      </c>
      <c r="W4">
        <f t="shared" si="10"/>
        <v>99.999999999999986</v>
      </c>
    </row>
    <row r="7" spans="1:23" x14ac:dyDescent="0.3">
      <c r="I7" t="s">
        <v>114</v>
      </c>
    </row>
    <row r="371" spans="1:23" x14ac:dyDescent="0.3">
      <c r="A371" t="s">
        <v>30</v>
      </c>
      <c r="B371">
        <v>2023</v>
      </c>
      <c r="C371" t="s">
        <v>37</v>
      </c>
      <c r="D371">
        <f>'All_India_Index_Upto_April23 (1'!D371+'All_India_Index_Upto_April23 (1'!G371+'All_India_Index_Upto_April23 (1'!H371+'All_India_Index_Upto_April23 (1'!I371+'All_India_Index_Upto_April23 (1'!J371+'All_India_Index_Upto_April23 (1'!K371+'All_India_Index_Upto_April23 (1'!L371+'All_India_Index_Upto_April23 (1'!M371+'All_India_Index_Upto_April23 (1'!N371+'All_India_Index_Upto_April23 (1'!O371+'All_India_Index_Upto_April23 (1'!P371</f>
        <v>1908.1999999999998</v>
      </c>
      <c r="E371">
        <f>'All_India_Index_Upto_April23 (1'!E371+'All_India_Index_Upto_April23 (1'!F371</f>
        <v>382.5</v>
      </c>
      <c r="F371">
        <v>199.9</v>
      </c>
      <c r="G371">
        <f>'All_India_Index_Upto_April23 (1'!R371+'All_India_Index_Upto_April23 (1'!S371+'All_India_Index_Upto_April23 (1'!T371</f>
        <v>569.90000000000009</v>
      </c>
      <c r="H371" t="e">
        <f>'All_India_Index_Upto_April23 (1'!U371+'All_India_Index_Upto_April23 (1'!W371</f>
        <v>#VALUE!</v>
      </c>
      <c r="I371">
        <v>182.5</v>
      </c>
      <c r="J371">
        <v>187.8</v>
      </c>
      <c r="K371">
        <v>169.7</v>
      </c>
      <c r="L371">
        <f>'All_India_Index_Upto_April23 (1'!Z371+'All_India_Index_Upto_April23 (1'!AA371+'All_India_Index_Upto_April23 (1'!AB371+'All_India_Index_Upto_April23 (1'!AC371+'All_India_Index_Upto_April23 (1'!AD371</f>
        <v>898.3</v>
      </c>
      <c r="M371" t="e">
        <f t="shared" ref="M371:M373" si="11">D371+E371+F371+G371+H371+I371+J371+K371+L371</f>
        <v>#VALUE!</v>
      </c>
      <c r="N371" t="e">
        <f t="shared" ref="N371:N373" si="12">D371/M371*100</f>
        <v>#VALUE!</v>
      </c>
      <c r="O371" t="e">
        <f t="shared" ref="O371:O373" si="13">E371/M371*100</f>
        <v>#VALUE!</v>
      </c>
      <c r="P371" t="e">
        <f t="shared" ref="P371:P373" si="14">F371/M371*100</f>
        <v>#VALUE!</v>
      </c>
      <c r="Q371" t="e">
        <f t="shared" ref="Q371:Q373" si="15">G371/M371*100</f>
        <v>#VALUE!</v>
      </c>
      <c r="R371" t="e">
        <f t="shared" ref="R371:R373" si="16">H371/M371*100</f>
        <v>#VALUE!</v>
      </c>
      <c r="S371" t="e">
        <f t="shared" ref="S371:S373" si="17">I371/M371*100</f>
        <v>#VALUE!</v>
      </c>
      <c r="T371" t="e">
        <f t="shared" ref="T371:T373" si="18">J371/M371*100</f>
        <v>#VALUE!</v>
      </c>
      <c r="U371" t="e">
        <f t="shared" ref="U371:U373" si="19">K371/M371*100</f>
        <v>#VALUE!</v>
      </c>
      <c r="V371" t="e">
        <f t="shared" ref="V371:V373" si="20">L371/M371*100</f>
        <v>#VALUE!</v>
      </c>
      <c r="W371" t="e">
        <f t="shared" ref="W371:W373" si="21">N371+O371+P371+Q371+R371+S371+T371+U371+V371</f>
        <v>#VALUE!</v>
      </c>
    </row>
    <row r="372" spans="1:23" x14ac:dyDescent="0.3">
      <c r="A372" t="s">
        <v>32</v>
      </c>
      <c r="B372">
        <v>2023</v>
      </c>
      <c r="C372" t="s">
        <v>37</v>
      </c>
      <c r="D372">
        <f>'All_India_Index_Upto_April23 (1'!D372+'All_India_Index_Upto_April23 (1'!G372+'All_India_Index_Upto_April23 (1'!H372+'All_India_Index_Upto_April23 (1'!I372+'All_India_Index_Upto_April23 (1'!J372+'All_India_Index_Upto_April23 (1'!K372+'All_India_Index_Upto_April23 (1'!L372+'All_India_Index_Upto_April23 (1'!M372+'All_India_Index_Upto_April23 (1'!N372+'All_India_Index_Upto_April23 (1'!O372+'All_India_Index_Upto_April23 (1'!P372</f>
        <v>1939.0000000000002</v>
      </c>
      <c r="E372">
        <f>'All_India_Index_Upto_April23 (1'!E372+'All_India_Index_Upto_April23 (1'!F372</f>
        <v>396.1</v>
      </c>
      <c r="F372">
        <v>204.2</v>
      </c>
      <c r="G372">
        <f>'All_India_Index_Upto_April23 (1'!R372+'All_India_Index_Upto_April23 (1'!S372+'All_India_Index_Upto_April23 (1'!T372</f>
        <v>528.70000000000005</v>
      </c>
      <c r="H372">
        <f>'All_India_Index_Upto_April23 (1'!U372+'All_India_Index_Upto_April23 (1'!W372</f>
        <v>345.7</v>
      </c>
      <c r="I372">
        <v>183.4</v>
      </c>
      <c r="J372">
        <v>182.2</v>
      </c>
      <c r="K372">
        <v>160.4</v>
      </c>
      <c r="L372">
        <f>'All_India_Index_Upto_April23 (1'!Z372+'All_India_Index_Upto_April23 (1'!AA372+'All_India_Index_Upto_April23 (1'!AB372+'All_India_Index_Upto_April23 (1'!AC372+'All_India_Index_Upto_April23 (1'!AD372</f>
        <v>879.40000000000009</v>
      </c>
      <c r="M372">
        <f t="shared" si="11"/>
        <v>4819.1000000000004</v>
      </c>
      <c r="N372">
        <f t="shared" si="12"/>
        <v>40.235728663028368</v>
      </c>
      <c r="O372">
        <f t="shared" si="13"/>
        <v>8.2193770621070321</v>
      </c>
      <c r="P372">
        <f t="shared" si="14"/>
        <v>4.2373057209852449</v>
      </c>
      <c r="Q372">
        <f t="shared" si="15"/>
        <v>10.970928181610674</v>
      </c>
      <c r="R372">
        <f t="shared" si="16"/>
        <v>7.173538627544561</v>
      </c>
      <c r="S372">
        <f t="shared" si="17"/>
        <v>3.8056898591023214</v>
      </c>
      <c r="T372">
        <f t="shared" si="18"/>
        <v>3.780788943993691</v>
      </c>
      <c r="U372">
        <f t="shared" si="19"/>
        <v>3.3284223195202425</v>
      </c>
      <c r="V372">
        <f t="shared" si="20"/>
        <v>18.248220622107862</v>
      </c>
      <c r="W372">
        <f t="shared" si="21"/>
        <v>99.999999999999986</v>
      </c>
    </row>
    <row r="373" spans="1:23" x14ac:dyDescent="0.3">
      <c r="A373" t="s">
        <v>33</v>
      </c>
      <c r="B373">
        <v>2023</v>
      </c>
      <c r="C373" t="s">
        <v>37</v>
      </c>
      <c r="D373">
        <f>'All_India_Index_Upto_April23 (1'!D373+'All_India_Index_Upto_April23 (1'!G373+'All_India_Index_Upto_April23 (1'!H373+'All_India_Index_Upto_April23 (1'!I373+'All_India_Index_Upto_April23 (1'!J373+'All_India_Index_Upto_April23 (1'!K373+'All_India_Index_Upto_April23 (1'!L373+'All_India_Index_Upto_April23 (1'!M373+'All_India_Index_Upto_April23 (1'!N373+'All_India_Index_Upto_April23 (1'!O373+'All_India_Index_Upto_April23 (1'!P373</f>
        <v>1919.4</v>
      </c>
      <c r="E373">
        <f>'All_India_Index_Upto_April23 (1'!E373+'All_India_Index_Upto_April23 (1'!F373</f>
        <v>387.5</v>
      </c>
      <c r="F373">
        <v>201</v>
      </c>
      <c r="G373">
        <f>'All_India_Index_Upto_April23 (1'!R373+'All_India_Index_Upto_April23 (1'!S373+'All_India_Index_Upto_April23 (1'!T373</f>
        <v>553.20000000000005</v>
      </c>
      <c r="H373">
        <f>'All_India_Index_Upto_April23 (1'!U373+'All_India_Index_Upto_April23 (1'!W373</f>
        <v>350.79999999999995</v>
      </c>
      <c r="I373">
        <v>182.8</v>
      </c>
      <c r="J373">
        <v>185.7</v>
      </c>
      <c r="K373">
        <v>164.8</v>
      </c>
      <c r="L373">
        <f>'All_India_Index_Upto_April23 (1'!Z373+'All_India_Index_Upto_April23 (1'!AA373+'All_India_Index_Upto_April23 (1'!AB373+'All_India_Index_Upto_April23 (1'!AC373+'All_India_Index_Upto_April23 (1'!AD373</f>
        <v>888.30000000000007</v>
      </c>
      <c r="M373">
        <f t="shared" si="11"/>
        <v>4833.5000000000009</v>
      </c>
      <c r="N373">
        <f t="shared" si="12"/>
        <v>39.710354815351188</v>
      </c>
      <c r="O373">
        <f t="shared" si="13"/>
        <v>8.0169649322437149</v>
      </c>
      <c r="P373">
        <f t="shared" si="14"/>
        <v>4.158477293886417</v>
      </c>
      <c r="Q373">
        <f t="shared" si="15"/>
        <v>11.44512258197993</v>
      </c>
      <c r="R373">
        <f t="shared" si="16"/>
        <v>7.2576807696286316</v>
      </c>
      <c r="S373">
        <f t="shared" si="17"/>
        <v>3.7819385538429708</v>
      </c>
      <c r="T373">
        <f t="shared" si="18"/>
        <v>3.8419364849487936</v>
      </c>
      <c r="U373">
        <f t="shared" si="19"/>
        <v>3.4095376021516492</v>
      </c>
      <c r="V373">
        <f t="shared" si="20"/>
        <v>18.377986965966688</v>
      </c>
      <c r="W373">
        <f t="shared" si="21"/>
        <v>99.999999999999986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7700-2FB6-4E14-9E83-BF9177A53B9A}">
  <dimension ref="A1:H77"/>
  <sheetViews>
    <sheetView workbookViewId="0">
      <selection activeCell="G14" sqref="G14"/>
    </sheetView>
  </sheetViews>
  <sheetFormatPr defaultRowHeight="14.4" x14ac:dyDescent="0.3"/>
  <cols>
    <col min="5" max="5" width="9.5546875" bestFit="1" customWidth="1"/>
    <col min="7" max="7" width="12.5546875" bestFit="1" customWidth="1"/>
    <col min="8" max="8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53</v>
      </c>
      <c r="E1" t="s">
        <v>55</v>
      </c>
    </row>
    <row r="2" spans="1:8" x14ac:dyDescent="0.3">
      <c r="A2" t="s">
        <v>33</v>
      </c>
      <c r="B2">
        <v>2017</v>
      </c>
      <c r="C2" t="s">
        <v>31</v>
      </c>
      <c r="D2">
        <v>3537.2999999999997</v>
      </c>
      <c r="G2" s="1" t="s">
        <v>56</v>
      </c>
      <c r="H2" t="s">
        <v>58</v>
      </c>
    </row>
    <row r="3" spans="1:8" x14ac:dyDescent="0.3">
      <c r="A3" t="s">
        <v>33</v>
      </c>
      <c r="B3">
        <v>2017</v>
      </c>
      <c r="C3" t="s">
        <v>34</v>
      </c>
      <c r="D3">
        <v>3538.6000000000004</v>
      </c>
      <c r="G3" s="2">
        <v>2017</v>
      </c>
    </row>
    <row r="4" spans="1:8" x14ac:dyDescent="0.3">
      <c r="A4" t="s">
        <v>33</v>
      </c>
      <c r="B4">
        <v>2017</v>
      </c>
      <c r="C4" t="s">
        <v>35</v>
      </c>
      <c r="D4">
        <v>3541.4</v>
      </c>
      <c r="G4" s="2">
        <v>2018</v>
      </c>
      <c r="H4">
        <v>3.3501310294004916</v>
      </c>
    </row>
    <row r="5" spans="1:8" x14ac:dyDescent="0.3">
      <c r="A5" t="s">
        <v>33</v>
      </c>
      <c r="B5">
        <v>2017</v>
      </c>
      <c r="C5" t="s">
        <v>36</v>
      </c>
      <c r="D5">
        <v>3545.4</v>
      </c>
      <c r="G5" s="2">
        <v>2019</v>
      </c>
      <c r="H5">
        <v>3.7139211880518515</v>
      </c>
    </row>
    <row r="6" spans="1:8" x14ac:dyDescent="0.3">
      <c r="A6" t="s">
        <v>33</v>
      </c>
      <c r="B6">
        <v>2017</v>
      </c>
      <c r="C6" t="s">
        <v>37</v>
      </c>
      <c r="D6">
        <v>3550.3</v>
      </c>
      <c r="G6" s="2">
        <v>2020</v>
      </c>
      <c r="H6">
        <v>6.370593997568271</v>
      </c>
    </row>
    <row r="7" spans="1:8" x14ac:dyDescent="0.3">
      <c r="A7" t="s">
        <v>33</v>
      </c>
      <c r="B7">
        <v>2017</v>
      </c>
      <c r="C7" t="s">
        <v>38</v>
      </c>
      <c r="D7">
        <v>3567.5</v>
      </c>
      <c r="G7" s="2">
        <v>2021</v>
      </c>
      <c r="H7">
        <v>6.8369696448191197</v>
      </c>
    </row>
    <row r="8" spans="1:8" x14ac:dyDescent="0.3">
      <c r="A8" t="s">
        <v>33</v>
      </c>
      <c r="B8">
        <v>2017</v>
      </c>
      <c r="C8" t="s">
        <v>39</v>
      </c>
      <c r="D8">
        <v>3613.7</v>
      </c>
      <c r="G8" s="2">
        <v>2022</v>
      </c>
      <c r="H8">
        <v>6.3930599323816262</v>
      </c>
    </row>
    <row r="9" spans="1:8" x14ac:dyDescent="0.3">
      <c r="A9" t="s">
        <v>33</v>
      </c>
      <c r="B9">
        <v>2017</v>
      </c>
      <c r="C9" t="s">
        <v>40</v>
      </c>
      <c r="D9">
        <v>3642.2999999999997</v>
      </c>
      <c r="G9" s="2">
        <v>2023</v>
      </c>
      <c r="H9">
        <v>5.3890406714842296</v>
      </c>
    </row>
    <row r="10" spans="1:8" x14ac:dyDescent="0.3">
      <c r="A10" t="s">
        <v>33</v>
      </c>
      <c r="B10">
        <v>2017</v>
      </c>
      <c r="C10" t="s">
        <v>41</v>
      </c>
      <c r="D10">
        <v>3637.9000000000005</v>
      </c>
      <c r="G10" s="2" t="s">
        <v>57</v>
      </c>
      <c r="H10">
        <v>5.3626154949379004</v>
      </c>
    </row>
    <row r="11" spans="1:8" x14ac:dyDescent="0.3">
      <c r="A11" t="s">
        <v>33</v>
      </c>
      <c r="B11">
        <v>2017</v>
      </c>
      <c r="C11" t="s">
        <v>42</v>
      </c>
      <c r="D11">
        <v>3656.7000000000003</v>
      </c>
    </row>
    <row r="12" spans="1:8" x14ac:dyDescent="0.3">
      <c r="A12" t="s">
        <v>33</v>
      </c>
      <c r="B12">
        <v>2017</v>
      </c>
      <c r="C12" t="s">
        <v>44</v>
      </c>
      <c r="D12">
        <v>3700.5000000000005</v>
      </c>
    </row>
    <row r="13" spans="1:8" x14ac:dyDescent="0.3">
      <c r="A13" t="s">
        <v>33</v>
      </c>
      <c r="B13">
        <v>2017</v>
      </c>
      <c r="C13" t="s">
        <v>45</v>
      </c>
      <c r="D13">
        <v>3691.2</v>
      </c>
    </row>
    <row r="14" spans="1:8" x14ac:dyDescent="0.3">
      <c r="A14" t="s">
        <v>33</v>
      </c>
      <c r="B14">
        <v>2018</v>
      </c>
      <c r="C14" t="s">
        <v>31</v>
      </c>
      <c r="D14">
        <v>3682.4000000000005</v>
      </c>
      <c r="E14" s="7">
        <f>(D14-D2)/D2*100</f>
        <v>4.1019986995731443</v>
      </c>
    </row>
    <row r="15" spans="1:8" x14ac:dyDescent="0.3">
      <c r="A15" t="s">
        <v>33</v>
      </c>
      <c r="B15">
        <v>2018</v>
      </c>
      <c r="C15" t="s">
        <v>34</v>
      </c>
      <c r="D15">
        <v>3667.0999999999995</v>
      </c>
      <c r="E15">
        <f t="shared" ref="E15:E77" si="0">(D15-D3)/D3*100</f>
        <v>3.6313796416661694</v>
      </c>
    </row>
    <row r="16" spans="1:8" x14ac:dyDescent="0.3">
      <c r="A16" t="s">
        <v>33</v>
      </c>
      <c r="B16">
        <v>2018</v>
      </c>
      <c r="C16" t="s">
        <v>35</v>
      </c>
      <c r="D16">
        <v>3670.5</v>
      </c>
      <c r="E16">
        <f t="shared" si="0"/>
        <v>3.6454509516010591</v>
      </c>
    </row>
    <row r="17" spans="1:8" x14ac:dyDescent="0.3">
      <c r="A17" t="s">
        <v>33</v>
      </c>
      <c r="B17">
        <v>2018</v>
      </c>
      <c r="C17" t="s">
        <v>36</v>
      </c>
      <c r="D17">
        <v>3683.4</v>
      </c>
      <c r="E17">
        <f t="shared" si="0"/>
        <v>3.8923675748857676</v>
      </c>
    </row>
    <row r="18" spans="1:8" x14ac:dyDescent="0.3">
      <c r="A18" t="s">
        <v>33</v>
      </c>
      <c r="B18">
        <v>2018</v>
      </c>
      <c r="C18" t="s">
        <v>37</v>
      </c>
      <c r="D18">
        <v>3695.9000000000005</v>
      </c>
      <c r="E18">
        <f t="shared" si="0"/>
        <v>4.1010618820944806</v>
      </c>
      <c r="H18" s="4" t="s">
        <v>85</v>
      </c>
    </row>
    <row r="19" spans="1:8" x14ac:dyDescent="0.3">
      <c r="A19" t="s">
        <v>33</v>
      </c>
      <c r="B19">
        <v>2018</v>
      </c>
      <c r="C19" t="s">
        <v>38</v>
      </c>
      <c r="D19">
        <v>3717.0999999999995</v>
      </c>
      <c r="E19">
        <f t="shared" si="0"/>
        <v>4.193412754029417</v>
      </c>
      <c r="H19" s="4" t="s">
        <v>86</v>
      </c>
    </row>
    <row r="20" spans="1:8" x14ac:dyDescent="0.3">
      <c r="A20" t="s">
        <v>33</v>
      </c>
      <c r="B20">
        <v>2018</v>
      </c>
      <c r="C20" t="s">
        <v>39</v>
      </c>
      <c r="D20">
        <v>3746.9999999999991</v>
      </c>
      <c r="E20">
        <f t="shared" si="0"/>
        <v>3.6887400725018478</v>
      </c>
    </row>
    <row r="21" spans="1:8" x14ac:dyDescent="0.3">
      <c r="A21" t="s">
        <v>33</v>
      </c>
      <c r="B21">
        <v>2018</v>
      </c>
      <c r="C21" t="s">
        <v>40</v>
      </c>
      <c r="D21">
        <v>3759.7000000000003</v>
      </c>
      <c r="E21">
        <f t="shared" si="0"/>
        <v>3.2232380638607623</v>
      </c>
      <c r="H21" s="4" t="s">
        <v>87</v>
      </c>
    </row>
    <row r="22" spans="1:8" x14ac:dyDescent="0.3">
      <c r="A22" t="s">
        <v>33</v>
      </c>
      <c r="B22">
        <v>2018</v>
      </c>
      <c r="C22" t="s">
        <v>41</v>
      </c>
      <c r="D22">
        <v>3750.2000000000003</v>
      </c>
      <c r="E22">
        <f t="shared" si="0"/>
        <v>3.0869457654141046</v>
      </c>
    </row>
    <row r="23" spans="1:8" x14ac:dyDescent="0.3">
      <c r="A23" t="s">
        <v>33</v>
      </c>
      <c r="B23">
        <v>2018</v>
      </c>
      <c r="C23" t="s">
        <v>42</v>
      </c>
      <c r="D23">
        <v>3768.2</v>
      </c>
      <c r="E23">
        <f t="shared" si="0"/>
        <v>3.0491973637432532</v>
      </c>
      <c r="H23" s="4" t="s">
        <v>88</v>
      </c>
    </row>
    <row r="24" spans="1:8" x14ac:dyDescent="0.3">
      <c r="A24" t="s">
        <v>33</v>
      </c>
      <c r="B24">
        <v>2018</v>
      </c>
      <c r="C24" t="s">
        <v>44</v>
      </c>
      <c r="D24">
        <v>3767.3</v>
      </c>
      <c r="E24">
        <f t="shared" si="0"/>
        <v>1.8051614646669292</v>
      </c>
    </row>
    <row r="25" spans="1:8" x14ac:dyDescent="0.3">
      <c r="A25" t="s">
        <v>33</v>
      </c>
      <c r="B25">
        <v>2018</v>
      </c>
      <c r="C25" t="s">
        <v>45</v>
      </c>
      <c r="D25">
        <v>3756.9999999999995</v>
      </c>
      <c r="E25">
        <f t="shared" si="0"/>
        <v>1.7826181187689569</v>
      </c>
      <c r="H25" s="4" t="s">
        <v>89</v>
      </c>
    </row>
    <row r="26" spans="1:8" x14ac:dyDescent="0.3">
      <c r="A26" t="s">
        <v>33</v>
      </c>
      <c r="B26">
        <v>2019</v>
      </c>
      <c r="C26" t="s">
        <v>31</v>
      </c>
      <c r="D26">
        <v>3745.0000000000009</v>
      </c>
      <c r="E26">
        <f t="shared" si="0"/>
        <v>1.6999782750380283</v>
      </c>
    </row>
    <row r="27" spans="1:8" x14ac:dyDescent="0.3">
      <c r="A27" t="s">
        <v>33</v>
      </c>
      <c r="B27">
        <v>2019</v>
      </c>
      <c r="C27" t="s">
        <v>34</v>
      </c>
      <c r="D27">
        <v>3753.3</v>
      </c>
      <c r="E27">
        <f t="shared" si="0"/>
        <v>2.3506312890294985</v>
      </c>
    </row>
    <row r="28" spans="1:8" x14ac:dyDescent="0.3">
      <c r="A28" t="s">
        <v>33</v>
      </c>
      <c r="B28">
        <v>2019</v>
      </c>
      <c r="C28" t="s">
        <v>35</v>
      </c>
      <c r="D28">
        <v>3763.6999999999994</v>
      </c>
      <c r="E28">
        <f t="shared" si="0"/>
        <v>2.5391636016891259</v>
      </c>
    </row>
    <row r="29" spans="1:8" x14ac:dyDescent="0.3">
      <c r="A29" t="s">
        <v>33</v>
      </c>
      <c r="B29">
        <v>2019</v>
      </c>
      <c r="C29" t="s">
        <v>37</v>
      </c>
      <c r="D29">
        <v>3802.3999999999996</v>
      </c>
      <c r="E29">
        <f t="shared" si="0"/>
        <v>3.2307107563663879</v>
      </c>
    </row>
    <row r="30" spans="1:8" x14ac:dyDescent="0.3">
      <c r="A30" t="s">
        <v>33</v>
      </c>
      <c r="B30">
        <v>2019</v>
      </c>
      <c r="C30" t="s">
        <v>38</v>
      </c>
      <c r="D30">
        <v>3829.7000000000003</v>
      </c>
      <c r="E30">
        <f t="shared" si="0"/>
        <v>3.6202278200167672</v>
      </c>
    </row>
    <row r="31" spans="1:8" x14ac:dyDescent="0.3">
      <c r="A31" t="s">
        <v>33</v>
      </c>
      <c r="B31">
        <v>2019</v>
      </c>
      <c r="C31" t="s">
        <v>39</v>
      </c>
      <c r="D31">
        <v>3861.2000000000003</v>
      </c>
      <c r="E31">
        <f t="shared" si="0"/>
        <v>3.8766780554733753</v>
      </c>
    </row>
    <row r="32" spans="1:8" x14ac:dyDescent="0.3">
      <c r="A32" t="s">
        <v>33</v>
      </c>
      <c r="B32">
        <v>2019</v>
      </c>
      <c r="C32" t="s">
        <v>40</v>
      </c>
      <c r="D32">
        <v>3878.2000000000003</v>
      </c>
      <c r="E32">
        <f t="shared" si="0"/>
        <v>3.5014678409394504</v>
      </c>
    </row>
    <row r="33" spans="1:5" x14ac:dyDescent="0.3">
      <c r="A33" t="s">
        <v>33</v>
      </c>
      <c r="B33">
        <v>2019</v>
      </c>
      <c r="C33" t="s">
        <v>41</v>
      </c>
      <c r="D33">
        <v>3895.7</v>
      </c>
      <c r="E33">
        <f t="shared" si="0"/>
        <v>3.6173098917466695</v>
      </c>
    </row>
    <row r="34" spans="1:5" x14ac:dyDescent="0.3">
      <c r="A34" t="s">
        <v>33</v>
      </c>
      <c r="B34">
        <v>2019</v>
      </c>
      <c r="C34" t="s">
        <v>42</v>
      </c>
      <c r="D34">
        <v>3930.7</v>
      </c>
      <c r="E34">
        <f t="shared" si="0"/>
        <v>4.8130766359127382</v>
      </c>
    </row>
    <row r="35" spans="1:5" x14ac:dyDescent="0.3">
      <c r="A35" t="s">
        <v>33</v>
      </c>
      <c r="B35">
        <v>2019</v>
      </c>
      <c r="C35" t="s">
        <v>44</v>
      </c>
      <c r="D35">
        <v>3963.7000000000007</v>
      </c>
      <c r="E35">
        <f t="shared" si="0"/>
        <v>5.1881534950374428</v>
      </c>
    </row>
    <row r="36" spans="1:5" x14ac:dyDescent="0.3">
      <c r="A36" t="s">
        <v>33</v>
      </c>
      <c r="B36">
        <v>2019</v>
      </c>
      <c r="C36" t="s">
        <v>45</v>
      </c>
      <c r="D36">
        <v>4009</v>
      </c>
      <c r="E36">
        <f t="shared" si="0"/>
        <v>6.4157354073208879</v>
      </c>
    </row>
    <row r="37" spans="1:5" x14ac:dyDescent="0.3">
      <c r="A37" t="s">
        <v>33</v>
      </c>
      <c r="B37">
        <v>2020</v>
      </c>
      <c r="C37" t="s">
        <v>31</v>
      </c>
      <c r="D37">
        <v>4012.3999999999996</v>
      </c>
      <c r="E37">
        <f t="shared" si="0"/>
        <v>6.7979771093957977</v>
      </c>
    </row>
    <row r="38" spans="1:5" x14ac:dyDescent="0.3">
      <c r="A38" t="s">
        <v>33</v>
      </c>
      <c r="B38">
        <v>2020</v>
      </c>
      <c r="C38" t="s">
        <v>34</v>
      </c>
      <c r="D38">
        <v>3989.5999999999995</v>
      </c>
      <c r="E38">
        <f t="shared" si="0"/>
        <v>6.5313751668891449</v>
      </c>
    </row>
    <row r="39" spans="1:5" x14ac:dyDescent="0.3">
      <c r="A39" t="s">
        <v>33</v>
      </c>
      <c r="B39">
        <v>2020</v>
      </c>
      <c r="C39" t="s">
        <v>35</v>
      </c>
      <c r="D39">
        <v>3978.9000000000005</v>
      </c>
      <c r="E39">
        <f t="shared" si="0"/>
        <v>6.0107105746942784</v>
      </c>
    </row>
    <row r="40" spans="1:5" x14ac:dyDescent="0.3">
      <c r="A40" t="s">
        <v>33</v>
      </c>
      <c r="B40">
        <v>2020</v>
      </c>
      <c r="C40" t="s">
        <v>36</v>
      </c>
      <c r="D40">
        <v>4024.3999999999996</v>
      </c>
      <c r="E40">
        <f t="shared" si="0"/>
        <v>6.926694476180363</v>
      </c>
    </row>
    <row r="41" spans="1:5" x14ac:dyDescent="0.3">
      <c r="A41" t="s">
        <v>33</v>
      </c>
      <c r="B41">
        <v>2020</v>
      </c>
      <c r="C41" t="s">
        <v>37</v>
      </c>
      <c r="D41">
        <v>3950.8566666666661</v>
      </c>
      <c r="E41">
        <f t="shared" si="0"/>
        <v>3.9042885195315193</v>
      </c>
    </row>
    <row r="42" spans="1:5" x14ac:dyDescent="0.3">
      <c r="A42" t="s">
        <v>33</v>
      </c>
      <c r="B42">
        <v>2020</v>
      </c>
      <c r="C42" t="s">
        <v>38</v>
      </c>
      <c r="D42">
        <v>4086.1000000000004</v>
      </c>
      <c r="E42">
        <f t="shared" si="0"/>
        <v>6.6950413870538181</v>
      </c>
    </row>
    <row r="43" spans="1:5" x14ac:dyDescent="0.3">
      <c r="A43" t="s">
        <v>33</v>
      </c>
      <c r="B43">
        <v>2020</v>
      </c>
      <c r="C43" t="s">
        <v>39</v>
      </c>
      <c r="D43">
        <v>4086.1000000000004</v>
      </c>
      <c r="E43">
        <f t="shared" si="0"/>
        <v>5.8246141096032344</v>
      </c>
    </row>
    <row r="44" spans="1:5" x14ac:dyDescent="0.3">
      <c r="A44" t="s">
        <v>33</v>
      </c>
      <c r="B44">
        <v>2020</v>
      </c>
      <c r="C44" t="s">
        <v>40</v>
      </c>
      <c r="D44">
        <v>4128.0999999999995</v>
      </c>
      <c r="E44">
        <f t="shared" si="0"/>
        <v>6.4437109999484088</v>
      </c>
    </row>
    <row r="45" spans="1:5" x14ac:dyDescent="0.3">
      <c r="A45" t="s">
        <v>33</v>
      </c>
      <c r="B45">
        <v>2020</v>
      </c>
      <c r="C45" t="s">
        <v>41</v>
      </c>
      <c r="D45">
        <v>4151.4000000000005</v>
      </c>
      <c r="E45">
        <f t="shared" si="0"/>
        <v>6.5636470980825203</v>
      </c>
    </row>
    <row r="46" spans="1:5" x14ac:dyDescent="0.3">
      <c r="A46" t="s">
        <v>33</v>
      </c>
      <c r="B46">
        <v>2020</v>
      </c>
      <c r="C46" t="s">
        <v>42</v>
      </c>
      <c r="D46">
        <v>4197.5</v>
      </c>
      <c r="E46">
        <f t="shared" si="0"/>
        <v>6.787595084844944</v>
      </c>
    </row>
    <row r="47" spans="1:5" x14ac:dyDescent="0.3">
      <c r="A47" t="s">
        <v>33</v>
      </c>
      <c r="B47">
        <v>2020</v>
      </c>
      <c r="C47" t="s">
        <v>44</v>
      </c>
      <c r="D47">
        <v>4253.7999999999993</v>
      </c>
      <c r="E47">
        <f t="shared" si="0"/>
        <v>7.3189191916643166</v>
      </c>
    </row>
    <row r="48" spans="1:5" x14ac:dyDescent="0.3">
      <c r="A48" t="s">
        <v>33</v>
      </c>
      <c r="B48">
        <v>2020</v>
      </c>
      <c r="C48" t="s">
        <v>45</v>
      </c>
      <c r="D48">
        <v>4275.3</v>
      </c>
      <c r="E48">
        <f t="shared" si="0"/>
        <v>6.6425542529309105</v>
      </c>
    </row>
    <row r="49" spans="1:5" x14ac:dyDescent="0.3">
      <c r="A49" t="s">
        <v>33</v>
      </c>
      <c r="B49">
        <v>2021</v>
      </c>
      <c r="C49" t="s">
        <v>31</v>
      </c>
      <c r="D49">
        <v>4250.4000000000005</v>
      </c>
      <c r="E49">
        <f t="shared" si="0"/>
        <v>5.9316120027913701</v>
      </c>
    </row>
    <row r="50" spans="1:5" x14ac:dyDescent="0.3">
      <c r="A50" t="s">
        <v>33</v>
      </c>
      <c r="B50">
        <v>2021</v>
      </c>
      <c r="C50" t="s">
        <v>34</v>
      </c>
      <c r="D50">
        <v>4234.3000000000011</v>
      </c>
      <c r="E50">
        <f t="shared" si="0"/>
        <v>6.1334469621015053</v>
      </c>
    </row>
    <row r="51" spans="1:5" x14ac:dyDescent="0.3">
      <c r="A51" t="s">
        <v>33</v>
      </c>
      <c r="B51">
        <v>2021</v>
      </c>
      <c r="C51" t="s">
        <v>35</v>
      </c>
      <c r="D51">
        <v>4241.2999999999993</v>
      </c>
      <c r="E51">
        <f t="shared" si="0"/>
        <v>6.5947875040840103</v>
      </c>
    </row>
    <row r="52" spans="1:5" x14ac:dyDescent="0.3">
      <c r="A52" t="s">
        <v>33</v>
      </c>
      <c r="B52">
        <v>2021</v>
      </c>
      <c r="C52" t="s">
        <v>36</v>
      </c>
      <c r="D52">
        <v>4276.2999999999993</v>
      </c>
      <c r="E52">
        <f t="shared" si="0"/>
        <v>6.2593181592286964</v>
      </c>
    </row>
    <row r="53" spans="1:5" x14ac:dyDescent="0.3">
      <c r="A53" t="s">
        <v>33</v>
      </c>
      <c r="B53">
        <v>2021</v>
      </c>
      <c r="C53" t="s">
        <v>37</v>
      </c>
      <c r="D53">
        <v>4355.1000000000013</v>
      </c>
      <c r="E53">
        <f t="shared" si="0"/>
        <v>10.231789392511544</v>
      </c>
    </row>
    <row r="54" spans="1:5" x14ac:dyDescent="0.3">
      <c r="A54" t="s">
        <v>33</v>
      </c>
      <c r="B54">
        <v>2021</v>
      </c>
      <c r="C54" t="s">
        <v>38</v>
      </c>
      <c r="D54">
        <v>4385.8</v>
      </c>
      <c r="E54">
        <f t="shared" si="0"/>
        <v>7.3346222559408671</v>
      </c>
    </row>
    <row r="55" spans="1:5" x14ac:dyDescent="0.3">
      <c r="A55" t="s">
        <v>33</v>
      </c>
      <c r="B55">
        <v>2021</v>
      </c>
      <c r="C55" t="s">
        <v>39</v>
      </c>
      <c r="D55">
        <v>4413.7</v>
      </c>
      <c r="E55">
        <f t="shared" si="0"/>
        <v>8.017424928415835</v>
      </c>
    </row>
    <row r="56" spans="1:5" x14ac:dyDescent="0.3">
      <c r="A56" t="s">
        <v>33</v>
      </c>
      <c r="B56">
        <v>2021</v>
      </c>
      <c r="C56" t="s">
        <v>40</v>
      </c>
      <c r="D56">
        <v>4426.2999999999993</v>
      </c>
      <c r="E56">
        <f t="shared" si="0"/>
        <v>7.2236622174850389</v>
      </c>
    </row>
    <row r="57" spans="1:5" x14ac:dyDescent="0.3">
      <c r="A57" t="s">
        <v>33</v>
      </c>
      <c r="B57">
        <v>2021</v>
      </c>
      <c r="C57" t="s">
        <v>41</v>
      </c>
      <c r="D57">
        <v>4426.5</v>
      </c>
      <c r="E57">
        <f t="shared" si="0"/>
        <v>6.626680156091906</v>
      </c>
    </row>
    <row r="58" spans="1:5" x14ac:dyDescent="0.3">
      <c r="A58" t="s">
        <v>33</v>
      </c>
      <c r="B58">
        <v>2021</v>
      </c>
      <c r="C58" t="s">
        <v>42</v>
      </c>
      <c r="D58">
        <v>4475.2999999999993</v>
      </c>
      <c r="E58">
        <f t="shared" si="0"/>
        <v>6.6182251340083207</v>
      </c>
    </row>
    <row r="59" spans="1:5" x14ac:dyDescent="0.3">
      <c r="A59" t="s">
        <v>33</v>
      </c>
      <c r="B59">
        <v>2021</v>
      </c>
      <c r="C59" t="s">
        <v>44</v>
      </c>
      <c r="D59">
        <v>4503.9000000000005</v>
      </c>
      <c r="E59">
        <f t="shared" si="0"/>
        <v>5.8794489632799225</v>
      </c>
    </row>
    <row r="60" spans="1:5" x14ac:dyDescent="0.3">
      <c r="A60" t="s">
        <v>33</v>
      </c>
      <c r="B60">
        <v>2021</v>
      </c>
      <c r="C60" t="s">
        <v>45</v>
      </c>
      <c r="D60">
        <v>4497.3</v>
      </c>
      <c r="E60">
        <f t="shared" si="0"/>
        <v>5.1926180618903937</v>
      </c>
    </row>
    <row r="61" spans="1:5" x14ac:dyDescent="0.3">
      <c r="A61" t="s">
        <v>33</v>
      </c>
      <c r="B61">
        <v>2022</v>
      </c>
      <c r="C61" t="s">
        <v>31</v>
      </c>
      <c r="D61">
        <v>4490.4999999999991</v>
      </c>
      <c r="E61">
        <f t="shared" si="0"/>
        <v>5.6488801054018092</v>
      </c>
    </row>
    <row r="62" spans="1:5" x14ac:dyDescent="0.3">
      <c r="A62" t="s">
        <v>33</v>
      </c>
      <c r="B62">
        <v>2022</v>
      </c>
      <c r="C62" t="s">
        <v>34</v>
      </c>
      <c r="D62">
        <v>4500.4000000000005</v>
      </c>
      <c r="E62">
        <f t="shared" si="0"/>
        <v>6.2843917530642459</v>
      </c>
    </row>
    <row r="63" spans="1:5" x14ac:dyDescent="0.3">
      <c r="A63" t="s">
        <v>33</v>
      </c>
      <c r="B63">
        <v>2022</v>
      </c>
      <c r="C63" t="s">
        <v>35</v>
      </c>
      <c r="D63">
        <v>4540.7</v>
      </c>
      <c r="E63">
        <f t="shared" si="0"/>
        <v>7.0591563907292709</v>
      </c>
    </row>
    <row r="64" spans="1:5" x14ac:dyDescent="0.3">
      <c r="A64" t="s">
        <v>33</v>
      </c>
      <c r="B64">
        <v>2022</v>
      </c>
      <c r="C64" t="s">
        <v>36</v>
      </c>
      <c r="D64">
        <v>4598.2000000000007</v>
      </c>
      <c r="E64">
        <f t="shared" si="0"/>
        <v>7.5275354862849069</v>
      </c>
    </row>
    <row r="65" spans="1:5" x14ac:dyDescent="0.3">
      <c r="A65" t="s">
        <v>33</v>
      </c>
      <c r="B65">
        <v>2022</v>
      </c>
      <c r="C65" t="s">
        <v>37</v>
      </c>
      <c r="D65">
        <v>4637.2999999999993</v>
      </c>
      <c r="E65">
        <f t="shared" si="0"/>
        <v>6.4797593625863446</v>
      </c>
    </row>
    <row r="66" spans="1:5" x14ac:dyDescent="0.3">
      <c r="A66" t="s">
        <v>33</v>
      </c>
      <c r="B66">
        <v>2022</v>
      </c>
      <c r="C66" t="s">
        <v>38</v>
      </c>
      <c r="D66">
        <v>4669.2000000000007</v>
      </c>
      <c r="E66">
        <f t="shared" si="0"/>
        <v>6.461762962287394</v>
      </c>
    </row>
    <row r="67" spans="1:5" x14ac:dyDescent="0.3">
      <c r="A67" t="s">
        <v>33</v>
      </c>
      <c r="B67">
        <v>2022</v>
      </c>
      <c r="C67" t="s">
        <v>39</v>
      </c>
      <c r="D67">
        <v>4689.5</v>
      </c>
      <c r="E67">
        <f t="shared" si="0"/>
        <v>6.2487255590547655</v>
      </c>
    </row>
    <row r="68" spans="1:5" x14ac:dyDescent="0.3">
      <c r="A68" t="s">
        <v>33</v>
      </c>
      <c r="B68">
        <v>2022</v>
      </c>
      <c r="C68" t="s">
        <v>40</v>
      </c>
      <c r="D68">
        <v>4703.7</v>
      </c>
      <c r="E68">
        <f t="shared" si="0"/>
        <v>6.2670853760477279</v>
      </c>
    </row>
    <row r="69" spans="1:5" x14ac:dyDescent="0.3">
      <c r="A69" t="s">
        <v>33</v>
      </c>
      <c r="B69">
        <v>2022</v>
      </c>
      <c r="C69" t="s">
        <v>41</v>
      </c>
      <c r="D69">
        <v>4727.1000000000004</v>
      </c>
      <c r="E69">
        <f t="shared" si="0"/>
        <v>6.7909183327685616</v>
      </c>
    </row>
    <row r="70" spans="1:5" x14ac:dyDescent="0.3">
      <c r="A70" t="s">
        <v>33</v>
      </c>
      <c r="B70">
        <v>2022</v>
      </c>
      <c r="C70" t="s">
        <v>42</v>
      </c>
      <c r="D70">
        <v>4756.3999999999996</v>
      </c>
      <c r="E70">
        <f t="shared" si="0"/>
        <v>6.2811431635868082</v>
      </c>
    </row>
    <row r="71" spans="1:5" x14ac:dyDescent="0.3">
      <c r="A71" t="s">
        <v>33</v>
      </c>
      <c r="B71">
        <v>2022</v>
      </c>
      <c r="C71" t="s">
        <v>44</v>
      </c>
      <c r="D71">
        <v>4765.8</v>
      </c>
      <c r="E71">
        <f t="shared" si="0"/>
        <v>5.8149603676813344</v>
      </c>
    </row>
    <row r="72" spans="1:5" x14ac:dyDescent="0.3">
      <c r="A72" t="s">
        <v>33</v>
      </c>
      <c r="B72">
        <v>2022</v>
      </c>
      <c r="C72" t="s">
        <v>45</v>
      </c>
      <c r="D72">
        <v>4760.5</v>
      </c>
      <c r="E72">
        <f t="shared" si="0"/>
        <v>5.8524003290863362</v>
      </c>
    </row>
    <row r="73" spans="1:5" x14ac:dyDescent="0.3">
      <c r="A73" t="s">
        <v>33</v>
      </c>
      <c r="B73">
        <v>2023</v>
      </c>
      <c r="C73" t="s">
        <v>31</v>
      </c>
      <c r="D73">
        <v>4781.8</v>
      </c>
      <c r="E73">
        <f t="shared" si="0"/>
        <v>6.4870281705823665</v>
      </c>
    </row>
    <row r="74" spans="1:5" x14ac:dyDescent="0.3">
      <c r="A74" t="s">
        <v>33</v>
      </c>
      <c r="B74">
        <v>2023</v>
      </c>
      <c r="C74" t="s">
        <v>34</v>
      </c>
      <c r="D74">
        <v>4784.5999999999995</v>
      </c>
      <c r="E74">
        <f t="shared" si="0"/>
        <v>6.3149942227357316</v>
      </c>
    </row>
    <row r="75" spans="1:5" x14ac:dyDescent="0.3">
      <c r="A75" t="s">
        <v>33</v>
      </c>
      <c r="B75">
        <v>2023</v>
      </c>
      <c r="C75" t="s">
        <v>35</v>
      </c>
      <c r="D75">
        <v>4784.3999999999996</v>
      </c>
      <c r="E75">
        <f t="shared" si="0"/>
        <v>5.3670138965357728</v>
      </c>
    </row>
    <row r="76" spans="1:5" x14ac:dyDescent="0.3">
      <c r="A76" t="s">
        <v>33</v>
      </c>
      <c r="B76">
        <v>2023</v>
      </c>
      <c r="C76" t="s">
        <v>36</v>
      </c>
      <c r="D76">
        <v>4807.2</v>
      </c>
      <c r="E76">
        <f t="shared" si="0"/>
        <v>4.5452568396328799</v>
      </c>
    </row>
    <row r="77" spans="1:5" x14ac:dyDescent="0.3">
      <c r="A77" t="s">
        <v>33</v>
      </c>
      <c r="B77">
        <v>2023</v>
      </c>
      <c r="C77" t="s">
        <v>37</v>
      </c>
      <c r="D77">
        <v>4833.5000000000009</v>
      </c>
      <c r="E77">
        <f t="shared" si="0"/>
        <v>4.2309102279343946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9F83-90D3-4371-B21F-D20000DDD865}">
  <dimension ref="A1:AN14"/>
  <sheetViews>
    <sheetView workbookViewId="0">
      <selection activeCell="K20" sqref="K20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48</v>
      </c>
      <c r="E1" t="s">
        <v>49</v>
      </c>
      <c r="F1" t="s">
        <v>90</v>
      </c>
      <c r="G1" t="s">
        <v>50</v>
      </c>
      <c r="H1" t="s">
        <v>51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62</v>
      </c>
      <c r="Q1" t="s">
        <v>72</v>
      </c>
      <c r="T1" t="s">
        <v>96</v>
      </c>
      <c r="W1" t="s">
        <v>77</v>
      </c>
      <c r="Z1" t="s">
        <v>76</v>
      </c>
      <c r="AC1" t="s">
        <v>97</v>
      </c>
      <c r="AF1" t="s">
        <v>63</v>
      </c>
      <c r="AI1" t="s">
        <v>74</v>
      </c>
      <c r="AL1" t="s">
        <v>98</v>
      </c>
    </row>
    <row r="2" spans="1:40" x14ac:dyDescent="0.3">
      <c r="A2" t="s">
        <v>33</v>
      </c>
      <c r="B2">
        <v>2022</v>
      </c>
      <c r="C2" t="s">
        <v>37</v>
      </c>
      <c r="D2">
        <v>1859.5</v>
      </c>
      <c r="E2">
        <v>379.4</v>
      </c>
      <c r="F2">
        <v>194.1</v>
      </c>
      <c r="G2">
        <v>518.6</v>
      </c>
      <c r="H2">
        <v>332.7</v>
      </c>
      <c r="I2">
        <v>174.6</v>
      </c>
      <c r="J2">
        <v>174.8</v>
      </c>
      <c r="K2">
        <v>163</v>
      </c>
      <c r="L2">
        <v>840.59999999999991</v>
      </c>
    </row>
    <row r="3" spans="1:40" x14ac:dyDescent="0.3">
      <c r="A3" t="s">
        <v>33</v>
      </c>
      <c r="B3">
        <v>2022</v>
      </c>
      <c r="C3" t="s">
        <v>38</v>
      </c>
      <c r="D3">
        <v>1871.7000000000003</v>
      </c>
      <c r="E3">
        <v>390.20000000000005</v>
      </c>
      <c r="F3">
        <v>194.3</v>
      </c>
      <c r="G3">
        <v>523</v>
      </c>
      <c r="H3">
        <v>333.20000000000005</v>
      </c>
      <c r="I3">
        <v>176</v>
      </c>
      <c r="J3">
        <v>175.4</v>
      </c>
      <c r="K3">
        <v>161.1</v>
      </c>
      <c r="L3">
        <v>844.30000000000007</v>
      </c>
      <c r="N3">
        <f>(D3-D2)/D2*100</f>
        <v>0.65609034686745216</v>
      </c>
      <c r="O3" t="s">
        <v>59</v>
      </c>
      <c r="P3">
        <f>MAX(N3:N14)</f>
        <v>0.81997763697350545</v>
      </c>
      <c r="Q3">
        <f>(E3-E2)/E2*100</f>
        <v>2.8465998945703923</v>
      </c>
      <c r="R3" t="s">
        <v>59</v>
      </c>
      <c r="S3">
        <f>MAX(Q3:Q14)</f>
        <v>2.8465998945703923</v>
      </c>
      <c r="T3">
        <f>(F3-F2)/F2*100</f>
        <v>0.10303967027306392</v>
      </c>
      <c r="U3" t="s">
        <v>59</v>
      </c>
      <c r="V3">
        <f>MAX(T3:T14)</f>
        <v>0.65590312815338625</v>
      </c>
      <c r="W3">
        <f>(G3-G2)/G2*100</f>
        <v>0.8484381025838752</v>
      </c>
      <c r="X3" t="s">
        <v>59</v>
      </c>
      <c r="Y3">
        <f>MAX(W3:W14)</f>
        <v>0.8484381025838752</v>
      </c>
      <c r="Z3">
        <f>(H3-H2)/H2*100</f>
        <v>0.15028554253082563</v>
      </c>
      <c r="AA3" t="s">
        <v>59</v>
      </c>
      <c r="AB3">
        <f>MAX(Z3:Z14)</f>
        <v>0.78260869565217073</v>
      </c>
      <c r="AC3">
        <f>(I3-I2)/I2*100</f>
        <v>0.80183276059565045</v>
      </c>
      <c r="AD3" t="s">
        <v>59</v>
      </c>
      <c r="AE3">
        <f>MAX(AC3:AC14)</f>
        <v>2.0454545454545423</v>
      </c>
      <c r="AF3">
        <f>(J3-J2)/J2*100</f>
        <v>0.34324942791761687</v>
      </c>
      <c r="AG3" t="s">
        <v>59</v>
      </c>
      <c r="AH3">
        <f>MAX(AF3:AF14)</f>
        <v>1.1519473395501889</v>
      </c>
      <c r="AI3">
        <f>(K3-K2)/K2*100</f>
        <v>-1.1656441717791446</v>
      </c>
      <c r="AJ3" t="s">
        <v>59</v>
      </c>
      <c r="AK3">
        <f>MAX(AI3:AI14)</f>
        <v>0.36968576709796319</v>
      </c>
      <c r="AL3">
        <f>(L3-L2)/L2*100</f>
        <v>0.4401617891982107</v>
      </c>
      <c r="AM3" t="s">
        <v>59</v>
      </c>
      <c r="AN3">
        <f>MAX(AL3:AL14)</f>
        <v>0.75205104831359815</v>
      </c>
    </row>
    <row r="4" spans="1:40" x14ac:dyDescent="0.3">
      <c r="A4" t="s">
        <v>33</v>
      </c>
      <c r="B4">
        <v>2022</v>
      </c>
      <c r="C4" t="s">
        <v>39</v>
      </c>
      <c r="D4">
        <v>1878.1000000000004</v>
      </c>
      <c r="E4">
        <v>388.2</v>
      </c>
      <c r="F4">
        <v>194.6</v>
      </c>
      <c r="G4">
        <v>526.90000000000009</v>
      </c>
      <c r="H4">
        <v>335.20000000000005</v>
      </c>
      <c r="I4">
        <v>179.6</v>
      </c>
      <c r="J4">
        <v>176.1</v>
      </c>
      <c r="K4">
        <v>161.6</v>
      </c>
      <c r="L4">
        <v>849.2</v>
      </c>
      <c r="N4">
        <f t="shared" ref="N4:N14" si="0">(D4-D3)/D3*100</f>
        <v>0.34193513917829194</v>
      </c>
      <c r="O4" t="s">
        <v>60</v>
      </c>
      <c r="P4">
        <f>MIN(N3:N14)</f>
        <v>-1.1437565582371434</v>
      </c>
      <c r="Q4">
        <f t="shared" ref="Q4:Q14" si="1">(E4-E3)/E3*100</f>
        <v>-0.51255766273707248</v>
      </c>
      <c r="R4" t="s">
        <v>60</v>
      </c>
      <c r="S4">
        <f>MIN(Q3:Q14)</f>
        <v>-5.5034550839091843</v>
      </c>
      <c r="T4">
        <f t="shared" ref="T4:T14" si="2">(F4-F3)/F3*100</f>
        <v>0.15440041173442251</v>
      </c>
      <c r="U4" t="s">
        <v>60</v>
      </c>
      <c r="V4">
        <f>MIN(T3:T14)</f>
        <v>0</v>
      </c>
      <c r="W4">
        <f t="shared" ref="W4:W14" si="3">(G4-G3)/G3*100</f>
        <v>0.74569789674953946</v>
      </c>
      <c r="X4" t="s">
        <v>60</v>
      </c>
      <c r="Y4">
        <f>MIN(W3:W14)</f>
        <v>-1.8181818181822317E-2</v>
      </c>
      <c r="Z4">
        <f t="shared" ref="Z4:Z14" si="4">(H4-H3)/H3*100</f>
        <v>0.60024009603841533</v>
      </c>
      <c r="AA4" t="s">
        <v>60</v>
      </c>
      <c r="AB4">
        <f>MIN(Z3:Z14)</f>
        <v>-0.11655011655014302</v>
      </c>
      <c r="AC4">
        <f t="shared" ref="AC4:AC14" si="5">(I4-I3)/I3*100</f>
        <v>2.0454545454545423</v>
      </c>
      <c r="AD4" t="s">
        <v>60</v>
      </c>
      <c r="AE4">
        <f>MIN(AC3:AC14)</f>
        <v>-0.44543429844097049</v>
      </c>
      <c r="AF4">
        <f t="shared" ref="AF4:AF14" si="6">(J4-J3)/J3*100</f>
        <v>0.39908779931584298</v>
      </c>
      <c r="AG4" t="s">
        <v>60</v>
      </c>
      <c r="AH4">
        <f>MIN(AF3:AF14)</f>
        <v>0</v>
      </c>
      <c r="AI4">
        <f t="shared" ref="AI4:AI14" si="7">(K4-K3)/K3*100</f>
        <v>0.31036623215394166</v>
      </c>
      <c r="AJ4" t="s">
        <v>60</v>
      </c>
      <c r="AK4">
        <f>MIN(AI3:AI14)</f>
        <v>-1.1656441717791446</v>
      </c>
      <c r="AL4">
        <f t="shared" ref="AL4:AL14" si="8">(L4-L3)/L3*100</f>
        <v>0.58036243041572633</v>
      </c>
      <c r="AM4" t="s">
        <v>60</v>
      </c>
      <c r="AN4">
        <f>MIN(AL3:AL14)</f>
        <v>0</v>
      </c>
    </row>
    <row r="5" spans="1:40" x14ac:dyDescent="0.3">
      <c r="A5" t="s">
        <v>33</v>
      </c>
      <c r="B5">
        <v>2022</v>
      </c>
      <c r="C5" t="s">
        <v>40</v>
      </c>
      <c r="D5">
        <v>1893.4999999999998</v>
      </c>
      <c r="E5">
        <v>375.7</v>
      </c>
      <c r="F5">
        <v>195</v>
      </c>
      <c r="G5">
        <v>530.70000000000005</v>
      </c>
      <c r="H5">
        <v>337.5</v>
      </c>
      <c r="I5">
        <v>178.8</v>
      </c>
      <c r="J5">
        <v>176.8</v>
      </c>
      <c r="K5">
        <v>161.9</v>
      </c>
      <c r="L5">
        <v>853.8</v>
      </c>
      <c r="N5">
        <f t="shared" si="0"/>
        <v>0.81997763697350545</v>
      </c>
      <c r="Q5">
        <f t="shared" si="1"/>
        <v>-3.219989696032973</v>
      </c>
      <c r="T5">
        <f t="shared" si="2"/>
        <v>0.20554984583761854</v>
      </c>
      <c r="W5">
        <f t="shared" si="3"/>
        <v>0.72119946858985651</v>
      </c>
      <c r="Z5">
        <f t="shared" si="4"/>
        <v>0.68615751789974766</v>
      </c>
      <c r="AC5">
        <f t="shared" si="5"/>
        <v>-0.44543429844097049</v>
      </c>
      <c r="AF5">
        <f t="shared" si="6"/>
        <v>0.397501419647937</v>
      </c>
      <c r="AI5">
        <f t="shared" si="7"/>
        <v>0.18564356435644269</v>
      </c>
      <c r="AL5">
        <f t="shared" si="8"/>
        <v>0.54168629298161897</v>
      </c>
    </row>
    <row r="6" spans="1:40" x14ac:dyDescent="0.3">
      <c r="A6" t="s">
        <v>33</v>
      </c>
      <c r="B6">
        <v>2022</v>
      </c>
      <c r="C6" t="s">
        <v>41</v>
      </c>
      <c r="D6">
        <v>1901.9999999999998</v>
      </c>
      <c r="E6">
        <v>378.9</v>
      </c>
      <c r="F6">
        <v>195.9</v>
      </c>
      <c r="G6">
        <v>535.1</v>
      </c>
      <c r="H6">
        <v>339</v>
      </c>
      <c r="I6">
        <v>179.5</v>
      </c>
      <c r="J6">
        <v>177.8</v>
      </c>
      <c r="K6">
        <v>162.30000000000001</v>
      </c>
      <c r="L6">
        <v>856.59999999999991</v>
      </c>
      <c r="N6">
        <f t="shared" si="0"/>
        <v>0.44890414576181681</v>
      </c>
      <c r="Q6">
        <f t="shared" si="1"/>
        <v>0.85174341229704242</v>
      </c>
      <c r="T6">
        <f t="shared" si="2"/>
        <v>0.46153846153846445</v>
      </c>
      <c r="W6">
        <f t="shared" si="3"/>
        <v>0.82909364989635892</v>
      </c>
      <c r="Z6">
        <f t="shared" si="4"/>
        <v>0.44444444444444442</v>
      </c>
      <c r="AC6">
        <f t="shared" si="5"/>
        <v>0.39149888143176093</v>
      </c>
      <c r="AF6">
        <f t="shared" si="6"/>
        <v>0.56561085972850678</v>
      </c>
      <c r="AI6">
        <f t="shared" si="7"/>
        <v>0.2470660901791264</v>
      </c>
      <c r="AL6">
        <f t="shared" si="8"/>
        <v>0.32794565472006965</v>
      </c>
    </row>
    <row r="7" spans="1:40" x14ac:dyDescent="0.3">
      <c r="A7" t="s">
        <v>33</v>
      </c>
      <c r="B7">
        <v>2022</v>
      </c>
      <c r="C7" t="s">
        <v>42</v>
      </c>
      <c r="D7">
        <v>1915.5000000000002</v>
      </c>
      <c r="E7">
        <v>381.8</v>
      </c>
      <c r="F7">
        <v>196.3</v>
      </c>
      <c r="G7">
        <v>538.20000000000005</v>
      </c>
      <c r="H7">
        <v>341.6</v>
      </c>
      <c r="I7">
        <v>180.5</v>
      </c>
      <c r="J7">
        <v>178.7</v>
      </c>
      <c r="K7">
        <v>162.9</v>
      </c>
      <c r="L7">
        <v>860.90000000000009</v>
      </c>
      <c r="N7">
        <f t="shared" si="0"/>
        <v>0.70977917981074956</v>
      </c>
      <c r="Q7">
        <f t="shared" si="1"/>
        <v>0.76537344945896923</v>
      </c>
      <c r="T7">
        <f t="shared" si="2"/>
        <v>0.20418580908627143</v>
      </c>
      <c r="W7">
        <f t="shared" si="3"/>
        <v>0.57933096617455104</v>
      </c>
      <c r="Z7">
        <f t="shared" si="4"/>
        <v>0.76696165191741084</v>
      </c>
      <c r="AC7">
        <f t="shared" si="5"/>
        <v>0.55710306406685239</v>
      </c>
      <c r="AF7">
        <f t="shared" si="6"/>
        <v>0.50618672665915476</v>
      </c>
      <c r="AI7">
        <f t="shared" si="7"/>
        <v>0.36968576709796319</v>
      </c>
      <c r="AL7">
        <f t="shared" si="8"/>
        <v>0.5019845902405069</v>
      </c>
    </row>
    <row r="8" spans="1:40" x14ac:dyDescent="0.3">
      <c r="A8" t="s">
        <v>33</v>
      </c>
      <c r="B8">
        <v>2022</v>
      </c>
      <c r="C8" t="s">
        <v>44</v>
      </c>
      <c r="D8">
        <v>1906</v>
      </c>
      <c r="E8">
        <v>390.8</v>
      </c>
      <c r="F8">
        <v>196.9</v>
      </c>
      <c r="G8">
        <v>541.4</v>
      </c>
      <c r="H8">
        <v>343.20000000000005</v>
      </c>
      <c r="I8">
        <v>181.3</v>
      </c>
      <c r="J8">
        <v>179.8</v>
      </c>
      <c r="K8">
        <v>163</v>
      </c>
      <c r="L8">
        <v>863.4</v>
      </c>
      <c r="N8">
        <f t="shared" si="0"/>
        <v>-0.49595405899244205</v>
      </c>
      <c r="Q8">
        <f t="shared" si="1"/>
        <v>2.3572551073860657</v>
      </c>
      <c r="T8">
        <f t="shared" si="2"/>
        <v>0.305654610290369</v>
      </c>
      <c r="W8">
        <f t="shared" si="3"/>
        <v>0.59457450761797315</v>
      </c>
      <c r="Z8">
        <f t="shared" si="4"/>
        <v>0.46838407494145856</v>
      </c>
      <c r="AC8">
        <f t="shared" si="5"/>
        <v>0.44321329639889823</v>
      </c>
      <c r="AF8">
        <f t="shared" si="6"/>
        <v>0.61555679910465744</v>
      </c>
      <c r="AI8">
        <f t="shared" si="7"/>
        <v>6.1387354205030269E-2</v>
      </c>
      <c r="AL8">
        <f t="shared" si="8"/>
        <v>0.29039377395747312</v>
      </c>
    </row>
    <row r="9" spans="1:40" x14ac:dyDescent="0.3">
      <c r="A9" t="s">
        <v>33</v>
      </c>
      <c r="B9">
        <v>2022</v>
      </c>
      <c r="C9" t="s">
        <v>45</v>
      </c>
      <c r="D9">
        <v>1884.2</v>
      </c>
      <c r="E9">
        <v>399.2</v>
      </c>
      <c r="F9">
        <v>197.3</v>
      </c>
      <c r="G9">
        <v>544</v>
      </c>
      <c r="H9">
        <v>342.79999999999995</v>
      </c>
      <c r="I9">
        <v>182</v>
      </c>
      <c r="J9">
        <v>181.1</v>
      </c>
      <c r="K9">
        <v>163.4</v>
      </c>
      <c r="L9">
        <v>866.5</v>
      </c>
      <c r="N9">
        <f t="shared" si="0"/>
        <v>-1.1437565582371434</v>
      </c>
      <c r="Q9">
        <f t="shared" si="1"/>
        <v>2.1494370522006081</v>
      </c>
      <c r="T9">
        <f t="shared" si="2"/>
        <v>0.20314880650076469</v>
      </c>
      <c r="W9">
        <f t="shared" si="3"/>
        <v>0.48023642408570799</v>
      </c>
      <c r="Z9">
        <f t="shared" si="4"/>
        <v>-0.11655011655014302</v>
      </c>
      <c r="AC9">
        <f t="shared" si="5"/>
        <v>0.38610038610037983</v>
      </c>
      <c r="AF9">
        <f t="shared" si="6"/>
        <v>0.72302558398219297</v>
      </c>
      <c r="AI9">
        <f t="shared" si="7"/>
        <v>0.24539877300613847</v>
      </c>
      <c r="AL9">
        <f t="shared" si="8"/>
        <v>0.35904563354181407</v>
      </c>
    </row>
    <row r="10" spans="1:40" x14ac:dyDescent="0.3">
      <c r="A10" t="s">
        <v>33</v>
      </c>
      <c r="B10">
        <v>2023</v>
      </c>
      <c r="C10" t="s">
        <v>31</v>
      </c>
      <c r="D10">
        <v>1887.5</v>
      </c>
      <c r="E10">
        <v>405.2</v>
      </c>
      <c r="F10">
        <v>198.2</v>
      </c>
      <c r="G10">
        <v>546.29999999999995</v>
      </c>
      <c r="H10">
        <v>345</v>
      </c>
      <c r="I10">
        <v>182</v>
      </c>
      <c r="J10">
        <v>182.3</v>
      </c>
      <c r="K10">
        <v>163.6</v>
      </c>
      <c r="L10">
        <v>871.7</v>
      </c>
      <c r="N10">
        <f t="shared" si="0"/>
        <v>0.17514064324381459</v>
      </c>
      <c r="Q10">
        <f t="shared" si="1"/>
        <v>1.5030060120240483</v>
      </c>
      <c r="T10">
        <f t="shared" si="2"/>
        <v>0.45615813482005935</v>
      </c>
      <c r="W10">
        <f t="shared" si="3"/>
        <v>0.42279411764705049</v>
      </c>
      <c r="Z10">
        <f t="shared" si="4"/>
        <v>0.64177362893816969</v>
      </c>
      <c r="AC10">
        <f t="shared" si="5"/>
        <v>0</v>
      </c>
      <c r="AF10">
        <f t="shared" si="6"/>
        <v>0.66261733848703319</v>
      </c>
      <c r="AI10">
        <f t="shared" si="7"/>
        <v>0.12239902080782657</v>
      </c>
      <c r="AL10">
        <f t="shared" si="8"/>
        <v>0.60011540680900699</v>
      </c>
    </row>
    <row r="11" spans="1:40" x14ac:dyDescent="0.3">
      <c r="A11" t="s">
        <v>33</v>
      </c>
      <c r="B11">
        <v>2023</v>
      </c>
      <c r="C11" t="s">
        <v>34</v>
      </c>
      <c r="D11">
        <v>1896.2</v>
      </c>
      <c r="E11">
        <v>382.9</v>
      </c>
      <c r="F11">
        <v>199.5</v>
      </c>
      <c r="G11">
        <v>550</v>
      </c>
      <c r="H11">
        <v>347.7</v>
      </c>
      <c r="I11">
        <v>182.1</v>
      </c>
      <c r="J11">
        <v>184.4</v>
      </c>
      <c r="K11">
        <v>164.2</v>
      </c>
      <c r="L11">
        <v>877.59999999999991</v>
      </c>
      <c r="N11">
        <f t="shared" si="0"/>
        <v>0.46092715231788317</v>
      </c>
      <c r="Q11">
        <f t="shared" si="1"/>
        <v>-5.5034550839091843</v>
      </c>
      <c r="T11">
        <f t="shared" si="2"/>
        <v>0.65590312815338625</v>
      </c>
      <c r="W11">
        <f t="shared" si="3"/>
        <v>0.67728354384038914</v>
      </c>
      <c r="Z11">
        <f t="shared" si="4"/>
        <v>0.78260869565217073</v>
      </c>
      <c r="AC11">
        <f t="shared" si="5"/>
        <v>5.4945054945051822E-2</v>
      </c>
      <c r="AF11">
        <f t="shared" si="6"/>
        <v>1.1519473395501889</v>
      </c>
      <c r="AI11">
        <f t="shared" si="7"/>
        <v>0.36674816625916523</v>
      </c>
      <c r="AL11">
        <f t="shared" si="8"/>
        <v>0.67683836182171198</v>
      </c>
    </row>
    <row r="12" spans="1:40" x14ac:dyDescent="0.3">
      <c r="A12" t="s">
        <v>33</v>
      </c>
      <c r="B12">
        <v>2023</v>
      </c>
      <c r="C12" t="s">
        <v>35</v>
      </c>
      <c r="D12">
        <v>1896.3</v>
      </c>
      <c r="E12">
        <v>382.9</v>
      </c>
      <c r="F12">
        <v>199.5</v>
      </c>
      <c r="G12">
        <v>549.9</v>
      </c>
      <c r="H12">
        <v>347.7</v>
      </c>
      <c r="I12">
        <v>181.9</v>
      </c>
      <c r="J12">
        <v>184.4</v>
      </c>
      <c r="K12">
        <v>164.2</v>
      </c>
      <c r="L12">
        <v>877.59999999999991</v>
      </c>
      <c r="N12">
        <f t="shared" si="0"/>
        <v>5.2737053053427407E-3</v>
      </c>
      <c r="Q12">
        <f t="shared" si="1"/>
        <v>0</v>
      </c>
      <c r="T12">
        <f t="shared" si="2"/>
        <v>0</v>
      </c>
      <c r="W12">
        <f t="shared" si="3"/>
        <v>-1.8181818181822317E-2</v>
      </c>
      <c r="Z12">
        <f t="shared" si="4"/>
        <v>0</v>
      </c>
      <c r="AC12">
        <f t="shared" si="5"/>
        <v>-0.10982976386600145</v>
      </c>
      <c r="AF12">
        <f t="shared" si="6"/>
        <v>0</v>
      </c>
      <c r="AI12">
        <f t="shared" si="7"/>
        <v>0</v>
      </c>
      <c r="AL12">
        <f t="shared" si="8"/>
        <v>0</v>
      </c>
    </row>
    <row r="13" spans="1:40" x14ac:dyDescent="0.3">
      <c r="A13" t="s">
        <v>33</v>
      </c>
      <c r="B13">
        <v>2023</v>
      </c>
      <c r="C13" t="s">
        <v>36</v>
      </c>
      <c r="D13">
        <v>1910.7000000000003</v>
      </c>
      <c r="E13">
        <v>378.9</v>
      </c>
      <c r="F13">
        <v>200.6</v>
      </c>
      <c r="G13">
        <v>551.79999999999995</v>
      </c>
      <c r="H13">
        <v>349.79999999999995</v>
      </c>
      <c r="I13">
        <v>181.7</v>
      </c>
      <c r="J13">
        <v>185</v>
      </c>
      <c r="K13">
        <v>164.5</v>
      </c>
      <c r="L13">
        <v>884.2</v>
      </c>
      <c r="N13">
        <f t="shared" si="0"/>
        <v>0.75937351684861665</v>
      </c>
      <c r="Q13">
        <f t="shared" si="1"/>
        <v>-1.044659179942544</v>
      </c>
      <c r="T13">
        <f t="shared" si="2"/>
        <v>0.55137844611528541</v>
      </c>
      <c r="W13">
        <f t="shared" si="3"/>
        <v>0.34551736679395839</v>
      </c>
      <c r="Z13">
        <f t="shared" si="4"/>
        <v>0.60396893874028357</v>
      </c>
      <c r="AC13">
        <f t="shared" si="5"/>
        <v>-0.10995052226499014</v>
      </c>
      <c r="AF13">
        <f t="shared" si="6"/>
        <v>0.32537960954446543</v>
      </c>
      <c r="AI13">
        <f t="shared" si="7"/>
        <v>0.18270401948843568</v>
      </c>
      <c r="AL13">
        <f t="shared" si="8"/>
        <v>0.75205104831359815</v>
      </c>
    </row>
    <row r="14" spans="1:40" x14ac:dyDescent="0.3">
      <c r="A14" t="s">
        <v>33</v>
      </c>
      <c r="B14">
        <v>2023</v>
      </c>
      <c r="C14" t="s">
        <v>37</v>
      </c>
      <c r="D14">
        <v>1919.4</v>
      </c>
      <c r="E14">
        <v>387.5</v>
      </c>
      <c r="F14">
        <v>201</v>
      </c>
      <c r="G14">
        <v>553.20000000000005</v>
      </c>
      <c r="H14">
        <v>350.79999999999995</v>
      </c>
      <c r="I14">
        <v>182.8</v>
      </c>
      <c r="J14">
        <v>185.7</v>
      </c>
      <c r="K14">
        <v>164.8</v>
      </c>
      <c r="L14">
        <v>888.30000000000007</v>
      </c>
      <c r="N14">
        <f t="shared" si="0"/>
        <v>0.45533050714396905</v>
      </c>
      <c r="Q14">
        <f t="shared" si="1"/>
        <v>2.2697281604645085</v>
      </c>
      <c r="T14">
        <f t="shared" si="2"/>
        <v>0.1994017946161544</v>
      </c>
      <c r="W14">
        <f t="shared" si="3"/>
        <v>0.25371511417181791</v>
      </c>
      <c r="Z14">
        <f t="shared" si="4"/>
        <v>0.28587764436821045</v>
      </c>
      <c r="AC14">
        <f t="shared" si="5"/>
        <v>0.60539350577876871</v>
      </c>
      <c r="AF14">
        <f t="shared" si="6"/>
        <v>0.37837837837837224</v>
      </c>
      <c r="AI14">
        <f t="shared" si="7"/>
        <v>0.18237082066869992</v>
      </c>
      <c r="AL14">
        <f t="shared" si="8"/>
        <v>0.46369599638091186</v>
      </c>
    </row>
  </sheetData>
  <phoneticPr fontId="18" type="noConversion"/>
  <conditionalFormatting sqref="N1:N34 O17:P17 O31:P31 O33:P33 N35:P35 N36:N46 N47:P47 N48:N1048576">
    <cfRule type="cellIs" dxfId="25" priority="24" operator="equal">
      <formula>-$P$3</formula>
    </cfRule>
  </conditionalFormatting>
  <conditionalFormatting sqref="N5">
    <cfRule type="cellIs" dxfId="24" priority="20" operator="greaterThan">
      <formula>0.81997</formula>
    </cfRule>
    <cfRule type="cellIs" dxfId="23" priority="21" operator="greaterThan">
      <formula>0.819977637</formula>
    </cfRule>
    <cfRule type="cellIs" dxfId="22" priority="22" operator="equal">
      <formula>0.819977637</formula>
    </cfRule>
    <cfRule type="cellIs" dxfId="21" priority="23" operator="equal">
      <formula>0.819977637</formula>
    </cfRule>
  </conditionalFormatting>
  <conditionalFormatting sqref="N9">
    <cfRule type="cellIs" dxfId="20" priority="19" operator="lessThan">
      <formula>-1.14375655</formula>
    </cfRule>
  </conditionalFormatting>
  <conditionalFormatting sqref="P3">
    <cfRule type="cellIs" dxfId="19" priority="25" operator="equal">
      <formula>0.819977637</formula>
    </cfRule>
  </conditionalFormatting>
  <conditionalFormatting sqref="Q3">
    <cfRule type="cellIs" dxfId="18" priority="18" operator="greaterThan">
      <formula>2.84659989</formula>
    </cfRule>
  </conditionalFormatting>
  <conditionalFormatting sqref="Q11">
    <cfRule type="cellIs" dxfId="17" priority="17" operator="lessThan">
      <formula>-5.50345508</formula>
    </cfRule>
  </conditionalFormatting>
  <conditionalFormatting sqref="T11">
    <cfRule type="cellIs" dxfId="16" priority="16" operator="greaterThan">
      <formula>0.65590312</formula>
    </cfRule>
  </conditionalFormatting>
  <conditionalFormatting sqref="T12">
    <cfRule type="cellIs" dxfId="15" priority="14" operator="lessThan">
      <formula>"-"</formula>
    </cfRule>
    <cfRule type="cellIs" dxfId="14" priority="15" operator="greaterThan">
      <formula>0</formula>
    </cfRule>
  </conditionalFormatting>
  <conditionalFormatting sqref="W3">
    <cfRule type="cellIs" dxfId="13" priority="13" operator="greaterThan">
      <formula>0.8484381</formula>
    </cfRule>
  </conditionalFormatting>
  <conditionalFormatting sqref="W12">
    <cfRule type="cellIs" dxfId="12" priority="12" operator="lessThan">
      <formula>-0.01818181</formula>
    </cfRule>
  </conditionalFormatting>
  <conditionalFormatting sqref="Z9">
    <cfRule type="cellIs" dxfId="11" priority="10" operator="lessThan">
      <formula>-0.11655011</formula>
    </cfRule>
  </conditionalFormatting>
  <conditionalFormatting sqref="Z11">
    <cfRule type="cellIs" dxfId="10" priority="11" operator="greaterThan">
      <formula>0.78260869</formula>
    </cfRule>
  </conditionalFormatting>
  <conditionalFormatting sqref="AC4">
    <cfRule type="cellIs" dxfId="9" priority="9" operator="greaterThan">
      <formula>2.04545454</formula>
    </cfRule>
  </conditionalFormatting>
  <conditionalFormatting sqref="AC5">
    <cfRule type="cellIs" dxfId="8" priority="8" operator="lessThan">
      <formula>-0.44543429</formula>
    </cfRule>
  </conditionalFormatting>
  <conditionalFormatting sqref="AF11">
    <cfRule type="cellIs" dxfId="7" priority="7" operator="greaterThan">
      <formula>1.1519473</formula>
    </cfRule>
  </conditionalFormatting>
  <conditionalFormatting sqref="AF12">
    <cfRule type="cellIs" dxfId="6" priority="5" operator="lessThan">
      <formula>"-"</formula>
    </cfRule>
    <cfRule type="cellIs" dxfId="5" priority="6" operator="lessThan">
      <formula>-1</formula>
    </cfRule>
  </conditionalFormatting>
  <conditionalFormatting sqref="AI3">
    <cfRule type="cellIs" dxfId="4" priority="3" operator="lessThan">
      <formula>-1.16564417</formula>
    </cfRule>
  </conditionalFormatting>
  <conditionalFormatting sqref="AI11">
    <cfRule type="cellIs" dxfId="3" priority="4" operator="greaterThan">
      <formula>0.36674816</formula>
    </cfRule>
  </conditionalFormatting>
  <conditionalFormatting sqref="AL12">
    <cfRule type="cellIs" dxfId="2" priority="1" operator="lessThan">
      <formula>"-"</formula>
    </cfRule>
  </conditionalFormatting>
  <conditionalFormatting sqref="AL13">
    <cfRule type="cellIs" dxfId="1" priority="2" operator="greaterThan">
      <formula>0.75205104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7AF2-9DC8-4537-8F51-9B05C74E3597}">
  <dimension ref="A1:P31"/>
  <sheetViews>
    <sheetView topLeftCell="B9" workbookViewId="0">
      <selection activeCell="C16" sqref="C16"/>
    </sheetView>
  </sheetViews>
  <sheetFormatPr defaultRowHeight="14.4" x14ac:dyDescent="0.3"/>
  <sheetData>
    <row r="1" spans="1:16" x14ac:dyDescent="0.3">
      <c r="A1" t="s">
        <v>0</v>
      </c>
      <c r="B1" t="s">
        <v>102</v>
      </c>
      <c r="C1" t="s">
        <v>103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33</v>
      </c>
      <c r="B2">
        <v>2022</v>
      </c>
      <c r="C2" t="s">
        <v>37</v>
      </c>
      <c r="D2">
        <v>154.1</v>
      </c>
      <c r="E2">
        <v>217</v>
      </c>
      <c r="F2">
        <v>162.4</v>
      </c>
      <c r="G2">
        <v>164.9</v>
      </c>
      <c r="H2">
        <v>202.4</v>
      </c>
      <c r="I2">
        <v>171</v>
      </c>
      <c r="J2">
        <v>174.9</v>
      </c>
      <c r="K2">
        <v>164.7</v>
      </c>
      <c r="L2">
        <v>119.7</v>
      </c>
      <c r="M2">
        <v>184.9</v>
      </c>
      <c r="N2">
        <v>167.1</v>
      </c>
      <c r="O2">
        <v>182.5</v>
      </c>
      <c r="P2">
        <v>173.3</v>
      </c>
    </row>
    <row r="3" spans="1:16" x14ac:dyDescent="0.3">
      <c r="A3" t="s">
        <v>33</v>
      </c>
      <c r="B3">
        <v>2022</v>
      </c>
      <c r="C3" t="s">
        <v>38</v>
      </c>
      <c r="D3">
        <v>155</v>
      </c>
      <c r="E3">
        <v>219.4</v>
      </c>
      <c r="F3">
        <v>170.8</v>
      </c>
      <c r="G3">
        <v>165.8</v>
      </c>
      <c r="H3">
        <v>200.9</v>
      </c>
      <c r="I3">
        <v>169.7</v>
      </c>
      <c r="J3">
        <v>182.3</v>
      </c>
      <c r="K3">
        <v>164.3</v>
      </c>
      <c r="L3">
        <v>119.9</v>
      </c>
      <c r="M3">
        <v>187.1</v>
      </c>
      <c r="N3">
        <v>167.9</v>
      </c>
      <c r="O3">
        <v>183.9</v>
      </c>
      <c r="P3">
        <v>174.9</v>
      </c>
    </row>
    <row r="4" spans="1:16" x14ac:dyDescent="0.3">
      <c r="A4" t="s">
        <v>33</v>
      </c>
      <c r="B4">
        <v>2022</v>
      </c>
      <c r="C4" t="s">
        <v>39</v>
      </c>
      <c r="D4">
        <v>156.5</v>
      </c>
      <c r="E4">
        <v>213</v>
      </c>
      <c r="F4">
        <v>175.2</v>
      </c>
      <c r="G4">
        <v>166.6</v>
      </c>
      <c r="H4">
        <v>195.8</v>
      </c>
      <c r="I4">
        <v>174.2</v>
      </c>
      <c r="J4">
        <v>182.1</v>
      </c>
      <c r="K4">
        <v>164.3</v>
      </c>
      <c r="L4">
        <v>120</v>
      </c>
      <c r="M4">
        <v>190</v>
      </c>
      <c r="N4">
        <v>168.4</v>
      </c>
      <c r="O4">
        <v>185.2</v>
      </c>
      <c r="P4">
        <v>175</v>
      </c>
    </row>
    <row r="5" spans="1:16" x14ac:dyDescent="0.3">
      <c r="A5" t="s">
        <v>33</v>
      </c>
      <c r="B5">
        <v>2022</v>
      </c>
      <c r="C5" t="s">
        <v>40</v>
      </c>
      <c r="D5">
        <v>160.30000000000001</v>
      </c>
      <c r="E5">
        <v>206.5</v>
      </c>
      <c r="F5">
        <v>169.2</v>
      </c>
      <c r="G5">
        <v>168.1</v>
      </c>
      <c r="H5">
        <v>192.4</v>
      </c>
      <c r="I5">
        <v>172.9</v>
      </c>
      <c r="J5">
        <v>186.7</v>
      </c>
      <c r="K5">
        <v>167.2</v>
      </c>
      <c r="L5">
        <v>120.9</v>
      </c>
      <c r="M5">
        <v>193.6</v>
      </c>
      <c r="N5">
        <v>168.8</v>
      </c>
      <c r="O5">
        <v>186.3</v>
      </c>
      <c r="P5">
        <v>176.3</v>
      </c>
    </row>
    <row r="6" spans="1:16" x14ac:dyDescent="0.3">
      <c r="A6" t="s">
        <v>33</v>
      </c>
      <c r="B6">
        <v>2022</v>
      </c>
      <c r="C6" t="s">
        <v>41</v>
      </c>
      <c r="D6">
        <v>163.5</v>
      </c>
      <c r="E6">
        <v>209.2</v>
      </c>
      <c r="F6">
        <v>169.7</v>
      </c>
      <c r="G6">
        <v>169.7</v>
      </c>
      <c r="H6">
        <v>188.7</v>
      </c>
      <c r="I6">
        <v>165.7</v>
      </c>
      <c r="J6">
        <v>191.8</v>
      </c>
      <c r="K6">
        <v>169.1</v>
      </c>
      <c r="L6">
        <v>121.6</v>
      </c>
      <c r="M6">
        <v>197.3</v>
      </c>
      <c r="N6">
        <v>169.4</v>
      </c>
      <c r="O6">
        <v>187.4</v>
      </c>
      <c r="P6">
        <v>177.8</v>
      </c>
    </row>
    <row r="7" spans="1:16" x14ac:dyDescent="0.3">
      <c r="A7" t="s">
        <v>33</v>
      </c>
      <c r="B7">
        <v>2022</v>
      </c>
      <c r="C7" t="s">
        <v>42</v>
      </c>
      <c r="D7">
        <v>165.2</v>
      </c>
      <c r="E7">
        <v>210.9</v>
      </c>
      <c r="F7">
        <v>170.9</v>
      </c>
      <c r="G7">
        <v>170.9</v>
      </c>
      <c r="H7">
        <v>186.5</v>
      </c>
      <c r="I7">
        <v>163.80000000000001</v>
      </c>
      <c r="J7">
        <v>199.7</v>
      </c>
      <c r="K7">
        <v>169.8</v>
      </c>
      <c r="L7">
        <v>121.9</v>
      </c>
      <c r="M7">
        <v>199.9</v>
      </c>
      <c r="N7">
        <v>169.9</v>
      </c>
      <c r="O7">
        <v>188.3</v>
      </c>
      <c r="P7">
        <v>179.6</v>
      </c>
    </row>
    <row r="8" spans="1:16" x14ac:dyDescent="0.3">
      <c r="A8" t="s">
        <v>33</v>
      </c>
      <c r="B8">
        <v>2022</v>
      </c>
      <c r="C8" t="s">
        <v>44</v>
      </c>
      <c r="D8">
        <v>167.4</v>
      </c>
      <c r="E8">
        <v>209.4</v>
      </c>
      <c r="F8">
        <v>181.4</v>
      </c>
      <c r="G8">
        <v>172.3</v>
      </c>
      <c r="H8">
        <v>188.9</v>
      </c>
      <c r="I8">
        <v>160.69999999999999</v>
      </c>
      <c r="J8">
        <v>183.1</v>
      </c>
      <c r="K8">
        <v>170.5</v>
      </c>
      <c r="L8">
        <v>122.1</v>
      </c>
      <c r="M8">
        <v>202.8</v>
      </c>
      <c r="N8">
        <v>170.4</v>
      </c>
      <c r="O8">
        <v>189.5</v>
      </c>
      <c r="P8">
        <v>178.3</v>
      </c>
    </row>
    <row r="9" spans="1:16" x14ac:dyDescent="0.3">
      <c r="A9" t="s">
        <v>33</v>
      </c>
      <c r="B9">
        <v>2022</v>
      </c>
      <c r="C9" t="s">
        <v>45</v>
      </c>
      <c r="D9">
        <v>169.2</v>
      </c>
      <c r="E9">
        <v>209</v>
      </c>
      <c r="F9">
        <v>190.2</v>
      </c>
      <c r="G9">
        <v>173.6</v>
      </c>
      <c r="H9">
        <v>188.5</v>
      </c>
      <c r="I9">
        <v>158</v>
      </c>
      <c r="J9">
        <v>159.9</v>
      </c>
      <c r="K9">
        <v>170.8</v>
      </c>
      <c r="L9">
        <v>121.8</v>
      </c>
      <c r="M9">
        <v>205.2</v>
      </c>
      <c r="N9">
        <v>171</v>
      </c>
      <c r="O9">
        <v>190.3</v>
      </c>
      <c r="P9">
        <v>175.9</v>
      </c>
    </row>
    <row r="10" spans="1:16" x14ac:dyDescent="0.3">
      <c r="A10" t="s">
        <v>33</v>
      </c>
      <c r="B10">
        <v>2023</v>
      </c>
      <c r="C10" t="s">
        <v>31</v>
      </c>
      <c r="D10">
        <v>173.8</v>
      </c>
      <c r="E10">
        <v>210.7</v>
      </c>
      <c r="F10">
        <v>194.5</v>
      </c>
      <c r="G10">
        <v>174.6</v>
      </c>
      <c r="H10">
        <v>187.2</v>
      </c>
      <c r="I10">
        <v>158.30000000000001</v>
      </c>
      <c r="J10">
        <v>153.9</v>
      </c>
      <c r="K10">
        <v>170.9</v>
      </c>
      <c r="L10">
        <v>121.1</v>
      </c>
      <c r="M10">
        <v>208.4</v>
      </c>
      <c r="N10">
        <v>171.4</v>
      </c>
      <c r="O10">
        <v>191.2</v>
      </c>
      <c r="P10">
        <v>176.7</v>
      </c>
    </row>
    <row r="11" spans="1:16" x14ac:dyDescent="0.3">
      <c r="A11" t="s">
        <v>33</v>
      </c>
      <c r="B11">
        <v>2023</v>
      </c>
      <c r="C11" t="s">
        <v>34</v>
      </c>
      <c r="D11">
        <v>174.4</v>
      </c>
      <c r="E11">
        <v>207.7</v>
      </c>
      <c r="F11">
        <v>175.2</v>
      </c>
      <c r="G11">
        <v>177.3</v>
      </c>
      <c r="H11">
        <v>179.3</v>
      </c>
      <c r="I11">
        <v>169.5</v>
      </c>
      <c r="J11">
        <v>152.69999999999999</v>
      </c>
      <c r="K11">
        <v>171</v>
      </c>
      <c r="L11">
        <v>120</v>
      </c>
      <c r="M11">
        <v>209.7</v>
      </c>
      <c r="N11">
        <v>172.3</v>
      </c>
      <c r="O11">
        <v>193</v>
      </c>
      <c r="P11">
        <v>177</v>
      </c>
    </row>
    <row r="12" spans="1:16" x14ac:dyDescent="0.3">
      <c r="A12" t="s">
        <v>33</v>
      </c>
      <c r="B12">
        <v>2023</v>
      </c>
      <c r="C12" t="s">
        <v>35</v>
      </c>
      <c r="D12">
        <v>174.4</v>
      </c>
      <c r="E12">
        <v>207.7</v>
      </c>
      <c r="F12">
        <v>175.2</v>
      </c>
      <c r="G12">
        <v>177.3</v>
      </c>
      <c r="H12">
        <v>179.2</v>
      </c>
      <c r="I12">
        <v>169.5</v>
      </c>
      <c r="J12">
        <v>152.80000000000001</v>
      </c>
      <c r="K12">
        <v>171.1</v>
      </c>
      <c r="L12">
        <v>120</v>
      </c>
      <c r="M12">
        <v>209.7</v>
      </c>
      <c r="N12">
        <v>172.3</v>
      </c>
      <c r="O12">
        <v>193</v>
      </c>
      <c r="P12">
        <v>177</v>
      </c>
    </row>
    <row r="13" spans="1:16" x14ac:dyDescent="0.3">
      <c r="A13" t="s">
        <v>33</v>
      </c>
      <c r="B13">
        <v>2023</v>
      </c>
      <c r="C13" t="s">
        <v>36</v>
      </c>
      <c r="D13">
        <v>173.8</v>
      </c>
      <c r="E13">
        <v>209.3</v>
      </c>
      <c r="F13">
        <v>169.6</v>
      </c>
      <c r="G13">
        <v>178.4</v>
      </c>
      <c r="H13">
        <v>174.9</v>
      </c>
      <c r="I13">
        <v>176.3</v>
      </c>
      <c r="J13">
        <v>155.4</v>
      </c>
      <c r="K13">
        <v>173.4</v>
      </c>
      <c r="L13">
        <v>121.3</v>
      </c>
      <c r="M13">
        <v>212.9</v>
      </c>
      <c r="N13">
        <v>172.9</v>
      </c>
      <c r="O13">
        <v>193.5</v>
      </c>
      <c r="P13">
        <v>177.9</v>
      </c>
    </row>
    <row r="14" spans="1:16" x14ac:dyDescent="0.3">
      <c r="A14" t="s">
        <v>33</v>
      </c>
      <c r="B14">
        <v>2023</v>
      </c>
      <c r="C14" t="s">
        <v>37</v>
      </c>
      <c r="D14">
        <v>173.7</v>
      </c>
      <c r="E14">
        <v>214.3</v>
      </c>
      <c r="F14">
        <v>173.2</v>
      </c>
      <c r="G14">
        <v>179.5</v>
      </c>
      <c r="H14">
        <v>170</v>
      </c>
      <c r="I14">
        <v>172.2</v>
      </c>
      <c r="J14">
        <v>161</v>
      </c>
      <c r="K14">
        <v>175.6</v>
      </c>
      <c r="L14">
        <v>122.7</v>
      </c>
      <c r="M14">
        <v>218</v>
      </c>
      <c r="N14">
        <v>173.4</v>
      </c>
      <c r="O14">
        <v>194.2</v>
      </c>
      <c r="P14">
        <v>179.1</v>
      </c>
    </row>
    <row r="15" spans="1:16" x14ac:dyDescent="0.3">
      <c r="C15" t="s">
        <v>100</v>
      </c>
    </row>
    <row r="16" spans="1:16" x14ac:dyDescent="0.3">
      <c r="A16" t="s">
        <v>101</v>
      </c>
    </row>
    <row r="18" spans="1:16" x14ac:dyDescent="0.3">
      <c r="A18" t="s">
        <v>0</v>
      </c>
      <c r="B18" t="s">
        <v>1</v>
      </c>
      <c r="C18" t="s">
        <v>2</v>
      </c>
      <c r="D18" t="s">
        <v>104</v>
      </c>
      <c r="E18" t="s">
        <v>105</v>
      </c>
      <c r="F18" t="s">
        <v>5</v>
      </c>
      <c r="G18" t="s">
        <v>106</v>
      </c>
      <c r="H18" t="s">
        <v>107</v>
      </c>
      <c r="I18" t="s">
        <v>8</v>
      </c>
      <c r="J18" t="s">
        <v>9</v>
      </c>
      <c r="K18" t="s">
        <v>108</v>
      </c>
      <c r="L18" t="s">
        <v>109</v>
      </c>
      <c r="M18" t="s">
        <v>12</v>
      </c>
      <c r="N18" t="s">
        <v>110</v>
      </c>
      <c r="O18" t="s">
        <v>111</v>
      </c>
      <c r="P18" t="s">
        <v>15</v>
      </c>
    </row>
    <row r="19" spans="1:16" x14ac:dyDescent="0.3">
      <c r="A19" t="s">
        <v>33</v>
      </c>
      <c r="B19">
        <v>2022</v>
      </c>
      <c r="C19" t="s">
        <v>38</v>
      </c>
      <c r="D19" s="5">
        <f t="shared" ref="D19:P19" si="0">(D3-D2)/D2</f>
        <v>5.8403634003893947E-3</v>
      </c>
      <c r="E19" s="6">
        <f t="shared" si="0"/>
        <v>1.1059907834101408E-2</v>
      </c>
      <c r="F19" s="6">
        <f t="shared" si="0"/>
        <v>5.1724137931034517E-2</v>
      </c>
      <c r="G19" s="6">
        <f t="shared" si="0"/>
        <v>5.4578532443905741E-3</v>
      </c>
      <c r="H19" s="6">
        <f t="shared" si="0"/>
        <v>-7.411067193675889E-3</v>
      </c>
      <c r="I19" s="6">
        <f t="shared" si="0"/>
        <v>-7.6023391812866164E-3</v>
      </c>
      <c r="J19" s="6">
        <f t="shared" si="0"/>
        <v>4.230989136649517E-2</v>
      </c>
      <c r="K19" s="6">
        <f t="shared" si="0"/>
        <v>-2.4286581663629466E-3</v>
      </c>
      <c r="L19" s="6">
        <f t="shared" si="0"/>
        <v>1.6708437761069578E-3</v>
      </c>
      <c r="M19" s="6">
        <f t="shared" si="0"/>
        <v>1.1898323418063756E-2</v>
      </c>
      <c r="N19" s="6">
        <f t="shared" si="0"/>
        <v>4.7875523638540481E-3</v>
      </c>
      <c r="O19" s="6">
        <f t="shared" si="0"/>
        <v>7.6712328767123599E-3</v>
      </c>
      <c r="P19" s="6">
        <f t="shared" si="0"/>
        <v>9.2325447201384546E-3</v>
      </c>
    </row>
    <row r="20" spans="1:16" x14ac:dyDescent="0.3">
      <c r="A20" t="s">
        <v>33</v>
      </c>
      <c r="B20">
        <v>2022</v>
      </c>
      <c r="C20" t="s">
        <v>39</v>
      </c>
      <c r="D20" s="5">
        <f t="shared" ref="D20:D30" si="1">(D4-D3)/D3</f>
        <v>9.6774193548387101E-3</v>
      </c>
      <c r="E20" s="6">
        <f t="shared" ref="E20:P30" si="2">(E4-E3)/E3</f>
        <v>-2.9170464904284436E-2</v>
      </c>
      <c r="F20" s="6">
        <f t="shared" si="2"/>
        <v>2.5761124121779725E-2</v>
      </c>
      <c r="G20" s="6">
        <f t="shared" si="2"/>
        <v>4.8250904704462173E-3</v>
      </c>
      <c r="H20" s="6">
        <f t="shared" si="2"/>
        <v>-2.5385764061722219E-2</v>
      </c>
      <c r="I20" s="6">
        <f t="shared" si="2"/>
        <v>2.6517383618149679E-2</v>
      </c>
      <c r="J20" s="6">
        <f t="shared" si="2"/>
        <v>-1.0970927043336097E-3</v>
      </c>
      <c r="K20" s="6">
        <f t="shared" si="2"/>
        <v>0</v>
      </c>
      <c r="L20" s="6">
        <f t="shared" si="2"/>
        <v>8.3402835696408937E-4</v>
      </c>
      <c r="M20" s="6">
        <f t="shared" si="2"/>
        <v>1.5499732763228252E-2</v>
      </c>
      <c r="N20" s="6">
        <f t="shared" si="2"/>
        <v>2.9779630732578916E-3</v>
      </c>
      <c r="O20" s="6">
        <f t="shared" si="2"/>
        <v>7.0690592713430287E-3</v>
      </c>
      <c r="P20" s="6">
        <f t="shared" si="2"/>
        <v>5.7175528873638828E-4</v>
      </c>
    </row>
    <row r="21" spans="1:16" x14ac:dyDescent="0.3">
      <c r="A21" t="s">
        <v>33</v>
      </c>
      <c r="B21">
        <v>2022</v>
      </c>
      <c r="C21" t="s">
        <v>40</v>
      </c>
      <c r="D21" s="5">
        <f t="shared" si="1"/>
        <v>2.4281150159744483E-2</v>
      </c>
      <c r="E21" s="6">
        <f t="shared" si="2"/>
        <v>-3.0516431924882629E-2</v>
      </c>
      <c r="F21" s="6">
        <f t="shared" si="2"/>
        <v>-3.4246575342465758E-2</v>
      </c>
      <c r="G21" s="6">
        <f t="shared" si="2"/>
        <v>9.00360144057623E-3</v>
      </c>
      <c r="H21" s="6">
        <f t="shared" si="2"/>
        <v>-1.7364657814096043E-2</v>
      </c>
      <c r="I21" s="6">
        <f t="shared" si="2"/>
        <v>-7.4626865671640818E-3</v>
      </c>
      <c r="J21" s="6">
        <f t="shared" si="2"/>
        <v>2.5260845689181737E-2</v>
      </c>
      <c r="K21" s="6">
        <f t="shared" si="2"/>
        <v>1.7650639074862917E-2</v>
      </c>
      <c r="L21" s="6">
        <f t="shared" si="2"/>
        <v>7.5000000000000474E-3</v>
      </c>
      <c r="M21" s="6">
        <f t="shared" si="2"/>
        <v>1.8947368421052602E-2</v>
      </c>
      <c r="N21" s="6">
        <f t="shared" si="2"/>
        <v>2.3752969121140478E-3</v>
      </c>
      <c r="O21" s="6">
        <f t="shared" si="2"/>
        <v>5.9395248380130824E-3</v>
      </c>
      <c r="P21" s="6">
        <f t="shared" si="2"/>
        <v>7.4285714285714935E-3</v>
      </c>
    </row>
    <row r="22" spans="1:16" x14ac:dyDescent="0.3">
      <c r="A22" t="s">
        <v>33</v>
      </c>
      <c r="B22">
        <v>2022</v>
      </c>
      <c r="C22" t="s">
        <v>41</v>
      </c>
      <c r="D22" s="5">
        <f t="shared" si="1"/>
        <v>1.9962570180910719E-2</v>
      </c>
      <c r="E22" s="6">
        <f t="shared" si="2"/>
        <v>1.3075060532687597E-2</v>
      </c>
      <c r="F22" s="6">
        <f t="shared" si="2"/>
        <v>2.9550827423167852E-3</v>
      </c>
      <c r="G22" s="6">
        <f t="shared" si="2"/>
        <v>9.5181439619273899E-3</v>
      </c>
      <c r="H22" s="6">
        <f t="shared" si="2"/>
        <v>-1.9230769230769319E-2</v>
      </c>
      <c r="I22" s="6">
        <f t="shared" si="2"/>
        <v>-4.1642567958357531E-2</v>
      </c>
      <c r="J22" s="6">
        <f t="shared" si="2"/>
        <v>2.7316550615961558E-2</v>
      </c>
      <c r="K22" s="6">
        <f t="shared" si="2"/>
        <v>1.1363636363636399E-2</v>
      </c>
      <c r="L22" s="6">
        <f t="shared" si="2"/>
        <v>5.7899090157153728E-3</v>
      </c>
      <c r="M22" s="6">
        <f t="shared" si="2"/>
        <v>1.9111570247933973E-2</v>
      </c>
      <c r="N22" s="6">
        <f t="shared" si="2"/>
        <v>3.5545023696682125E-3</v>
      </c>
      <c r="O22" s="6">
        <f t="shared" si="2"/>
        <v>5.9044551798174676E-3</v>
      </c>
      <c r="P22" s="6">
        <f t="shared" si="2"/>
        <v>8.5082246171298923E-3</v>
      </c>
    </row>
    <row r="23" spans="1:16" x14ac:dyDescent="0.3">
      <c r="A23" t="s">
        <v>33</v>
      </c>
      <c r="B23">
        <v>2022</v>
      </c>
      <c r="C23" t="s">
        <v>42</v>
      </c>
      <c r="D23" s="5">
        <f t="shared" si="1"/>
        <v>1.0397553516819502E-2</v>
      </c>
      <c r="E23" s="6">
        <f t="shared" si="2"/>
        <v>8.1261950286807706E-3</v>
      </c>
      <c r="F23" s="6">
        <f t="shared" si="2"/>
        <v>7.0713022981733478E-3</v>
      </c>
      <c r="G23" s="6">
        <f t="shared" si="2"/>
        <v>7.0713022981733478E-3</v>
      </c>
      <c r="H23" s="6">
        <f t="shared" si="2"/>
        <v>-1.1658717541070422E-2</v>
      </c>
      <c r="I23" s="6">
        <f t="shared" si="2"/>
        <v>-1.1466505733252729E-2</v>
      </c>
      <c r="J23" s="6">
        <f t="shared" si="2"/>
        <v>4.118873826903012E-2</v>
      </c>
      <c r="K23" s="6">
        <f t="shared" si="2"/>
        <v>4.1395623891189656E-3</v>
      </c>
      <c r="L23" s="6">
        <f t="shared" si="2"/>
        <v>2.4671052631579883E-3</v>
      </c>
      <c r="M23" s="6">
        <f t="shared" si="2"/>
        <v>1.3177901672579798E-2</v>
      </c>
      <c r="N23" s="6">
        <f t="shared" si="2"/>
        <v>2.9515938606847697E-3</v>
      </c>
      <c r="O23" s="6">
        <f t="shared" si="2"/>
        <v>4.8025613660619302E-3</v>
      </c>
      <c r="P23" s="6">
        <f t="shared" si="2"/>
        <v>1.0123734533183255E-2</v>
      </c>
    </row>
    <row r="24" spans="1:16" x14ac:dyDescent="0.3">
      <c r="A24" t="s">
        <v>33</v>
      </c>
      <c r="B24">
        <v>2022</v>
      </c>
      <c r="C24" t="s">
        <v>44</v>
      </c>
      <c r="D24" s="5">
        <f t="shared" si="1"/>
        <v>1.3317191283293082E-2</v>
      </c>
      <c r="E24" s="6">
        <f t="shared" si="2"/>
        <v>-7.1123755334281651E-3</v>
      </c>
      <c r="F24" s="6">
        <f t="shared" si="2"/>
        <v>6.1439438267992974E-2</v>
      </c>
      <c r="G24" s="6">
        <f t="shared" si="2"/>
        <v>8.1919251023990971E-3</v>
      </c>
      <c r="H24" s="6">
        <f t="shared" si="2"/>
        <v>1.286863270777483E-2</v>
      </c>
      <c r="I24" s="6">
        <f t="shared" si="2"/>
        <v>-1.8925518925519063E-2</v>
      </c>
      <c r="J24" s="6">
        <f t="shared" si="2"/>
        <v>-8.3124687030545791E-2</v>
      </c>
      <c r="K24" s="6">
        <f t="shared" si="2"/>
        <v>4.1224970553591792E-3</v>
      </c>
      <c r="L24" s="6">
        <f t="shared" si="2"/>
        <v>1.640689089417462E-3</v>
      </c>
      <c r="M24" s="6">
        <f t="shared" si="2"/>
        <v>1.4507253626813434E-2</v>
      </c>
      <c r="N24" s="6">
        <f t="shared" si="2"/>
        <v>2.942907592701589E-3</v>
      </c>
      <c r="O24" s="6">
        <f t="shared" si="2"/>
        <v>6.3728093467869812E-3</v>
      </c>
      <c r="P24" s="6">
        <f t="shared" si="2"/>
        <v>-7.2383073496658295E-3</v>
      </c>
    </row>
    <row r="25" spans="1:16" x14ac:dyDescent="0.3">
      <c r="A25" t="s">
        <v>33</v>
      </c>
      <c r="B25">
        <v>2022</v>
      </c>
      <c r="C25" t="s">
        <v>45</v>
      </c>
      <c r="D25" s="5">
        <f t="shared" si="1"/>
        <v>1.0752688172042909E-2</v>
      </c>
      <c r="E25" s="6">
        <f t="shared" si="2"/>
        <v>-1.9102196752626823E-3</v>
      </c>
      <c r="F25" s="6">
        <f t="shared" si="2"/>
        <v>4.8511576626240255E-2</v>
      </c>
      <c r="G25" s="6">
        <f t="shared" si="2"/>
        <v>7.5449796865930518E-3</v>
      </c>
      <c r="H25" s="6">
        <f t="shared" si="2"/>
        <v>-2.1175224986765785E-3</v>
      </c>
      <c r="I25" s="6">
        <f t="shared" si="2"/>
        <v>-1.6801493466085806E-2</v>
      </c>
      <c r="J25" s="6">
        <f t="shared" si="2"/>
        <v>-0.12670671764063349</v>
      </c>
      <c r="K25" s="6">
        <f t="shared" si="2"/>
        <v>1.7595307917889231E-3</v>
      </c>
      <c r="L25" s="6">
        <f t="shared" si="2"/>
        <v>-2.457002457002434E-3</v>
      </c>
      <c r="M25" s="6">
        <f t="shared" si="2"/>
        <v>1.1834319526627106E-2</v>
      </c>
      <c r="N25" s="6">
        <f t="shared" si="2"/>
        <v>3.521126760563347E-3</v>
      </c>
      <c r="O25" s="6">
        <f t="shared" si="2"/>
        <v>4.2216358839050729E-3</v>
      </c>
      <c r="P25" s="6">
        <f t="shared" si="2"/>
        <v>-1.3460459899046581E-2</v>
      </c>
    </row>
    <row r="26" spans="1:16" x14ac:dyDescent="0.3">
      <c r="A26" t="s">
        <v>33</v>
      </c>
      <c r="B26">
        <v>2023</v>
      </c>
      <c r="C26" t="s">
        <v>31</v>
      </c>
      <c r="D26" s="5">
        <f t="shared" si="1"/>
        <v>2.7186761229314557E-2</v>
      </c>
      <c r="E26" s="6">
        <f t="shared" si="2"/>
        <v>8.1339712918659744E-3</v>
      </c>
      <c r="F26" s="6">
        <f t="shared" si="2"/>
        <v>2.2607781282860208E-2</v>
      </c>
      <c r="G26" s="6">
        <f t="shared" si="2"/>
        <v>5.7603686635944703E-3</v>
      </c>
      <c r="H26" s="6">
        <f t="shared" si="2"/>
        <v>-6.8965517241379917E-3</v>
      </c>
      <c r="I26" s="6">
        <f t="shared" si="2"/>
        <v>1.8987341772152618E-3</v>
      </c>
      <c r="J26" s="6">
        <f t="shared" si="2"/>
        <v>-3.7523452157598496E-2</v>
      </c>
      <c r="K26" s="6">
        <f t="shared" si="2"/>
        <v>5.854800936767817E-4</v>
      </c>
      <c r="L26" s="6">
        <f t="shared" si="2"/>
        <v>-5.7471264367816325E-3</v>
      </c>
      <c r="M26" s="6">
        <f t="shared" si="2"/>
        <v>1.5594541910331468E-2</v>
      </c>
      <c r="N26" s="6">
        <f t="shared" si="2"/>
        <v>2.339181286549741E-3</v>
      </c>
      <c r="O26" s="6">
        <f t="shared" si="2"/>
        <v>4.7293746715710832E-3</v>
      </c>
      <c r="P26" s="6">
        <f t="shared" si="2"/>
        <v>4.5480386583284984E-3</v>
      </c>
    </row>
    <row r="27" spans="1:16" x14ac:dyDescent="0.3">
      <c r="A27" t="s">
        <v>33</v>
      </c>
      <c r="B27">
        <v>2023</v>
      </c>
      <c r="C27" t="s">
        <v>34</v>
      </c>
      <c r="D27" s="5">
        <f t="shared" si="1"/>
        <v>3.4522439585730398E-3</v>
      </c>
      <c r="E27" s="6">
        <f t="shared" si="2"/>
        <v>-1.423825344091125E-2</v>
      </c>
      <c r="F27" s="6">
        <f t="shared" si="2"/>
        <v>-9.9228791773778982E-2</v>
      </c>
      <c r="G27" s="6">
        <f t="shared" si="2"/>
        <v>1.5463917525773294E-2</v>
      </c>
      <c r="H27" s="6">
        <f t="shared" si="2"/>
        <v>-4.2200854700854579E-2</v>
      </c>
      <c r="I27" s="6">
        <f t="shared" si="2"/>
        <v>7.0751737207833149E-2</v>
      </c>
      <c r="J27" s="6">
        <f t="shared" si="2"/>
        <v>-7.7972709551658026E-3</v>
      </c>
      <c r="K27" s="6">
        <f t="shared" si="2"/>
        <v>5.8513750731418557E-4</v>
      </c>
      <c r="L27" s="6">
        <f t="shared" si="2"/>
        <v>-9.0834021469859156E-3</v>
      </c>
      <c r="M27" s="6">
        <f t="shared" si="2"/>
        <v>6.2380038387715112E-3</v>
      </c>
      <c r="N27" s="6">
        <f t="shared" si="2"/>
        <v>5.2508751458576761E-3</v>
      </c>
      <c r="O27" s="6">
        <f t="shared" si="2"/>
        <v>9.4142259414226534E-3</v>
      </c>
      <c r="P27" s="6">
        <f t="shared" si="2"/>
        <v>1.6977928692700134E-3</v>
      </c>
    </row>
    <row r="28" spans="1:16" x14ac:dyDescent="0.3">
      <c r="A28" t="s">
        <v>33</v>
      </c>
      <c r="B28">
        <v>2023</v>
      </c>
      <c r="C28" t="s">
        <v>35</v>
      </c>
      <c r="D28" s="5">
        <f t="shared" si="1"/>
        <v>0</v>
      </c>
      <c r="E28" s="6">
        <f t="shared" si="2"/>
        <v>0</v>
      </c>
      <c r="F28" s="6">
        <f t="shared" si="2"/>
        <v>0</v>
      </c>
      <c r="G28" s="6">
        <f t="shared" si="2"/>
        <v>0</v>
      </c>
      <c r="H28" s="6">
        <f t="shared" si="2"/>
        <v>-5.5772448410497898E-4</v>
      </c>
      <c r="I28" s="6">
        <f t="shared" si="2"/>
        <v>0</v>
      </c>
      <c r="J28" s="6">
        <f t="shared" si="2"/>
        <v>6.5487884741337755E-4</v>
      </c>
      <c r="K28" s="6">
        <f t="shared" si="2"/>
        <v>5.8479532163739363E-4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6">
        <f t="shared" si="2"/>
        <v>0</v>
      </c>
      <c r="P28" s="6">
        <f t="shared" si="2"/>
        <v>0</v>
      </c>
    </row>
    <row r="29" spans="1:16" x14ac:dyDescent="0.3">
      <c r="A29" t="s">
        <v>33</v>
      </c>
      <c r="B29">
        <v>2023</v>
      </c>
      <c r="C29" t="s">
        <v>36</v>
      </c>
      <c r="D29" s="5">
        <f t="shared" si="1"/>
        <v>-3.4403669724770315E-3</v>
      </c>
      <c r="E29" s="6">
        <f t="shared" si="2"/>
        <v>7.7034183919115207E-3</v>
      </c>
      <c r="F29" s="6">
        <f t="shared" si="2"/>
        <v>-3.1963470319634674E-2</v>
      </c>
      <c r="G29" s="6">
        <f t="shared" si="2"/>
        <v>6.2041737168640398E-3</v>
      </c>
      <c r="H29" s="6">
        <f t="shared" si="2"/>
        <v>-2.3995535714285622E-2</v>
      </c>
      <c r="I29" s="6">
        <f t="shared" si="2"/>
        <v>4.0117994100295054E-2</v>
      </c>
      <c r="J29" s="6">
        <f t="shared" si="2"/>
        <v>1.7015706806282685E-2</v>
      </c>
      <c r="K29" s="6">
        <f t="shared" si="2"/>
        <v>1.3442431326709593E-2</v>
      </c>
      <c r="L29" s="6">
        <f t="shared" si="2"/>
        <v>1.0833333333333309E-2</v>
      </c>
      <c r="M29" s="6">
        <f t="shared" si="2"/>
        <v>1.5259895088221351E-2</v>
      </c>
      <c r="N29" s="6">
        <f t="shared" si="2"/>
        <v>3.4822983168891135E-3</v>
      </c>
      <c r="O29" s="6">
        <f t="shared" si="2"/>
        <v>2.5906735751295338E-3</v>
      </c>
      <c r="P29" s="6">
        <f t="shared" si="2"/>
        <v>5.0847457627118961E-3</v>
      </c>
    </row>
    <row r="30" spans="1:16" x14ac:dyDescent="0.3">
      <c r="A30" t="s">
        <v>33</v>
      </c>
      <c r="B30">
        <v>2023</v>
      </c>
      <c r="C30" t="s">
        <v>37</v>
      </c>
      <c r="D30" s="5">
        <f t="shared" si="1"/>
        <v>-5.7537399309564284E-4</v>
      </c>
      <c r="E30" s="6">
        <f t="shared" si="2"/>
        <v>2.3889154323936932E-2</v>
      </c>
      <c r="F30" s="6">
        <f t="shared" si="2"/>
        <v>2.122641509433959E-2</v>
      </c>
      <c r="G30" s="6">
        <f t="shared" si="2"/>
        <v>6.1659192825111791E-3</v>
      </c>
      <c r="H30" s="6">
        <f t="shared" si="2"/>
        <v>-2.801600914808465E-2</v>
      </c>
      <c r="I30" s="6">
        <f t="shared" si="2"/>
        <v>-2.32558139534885E-2</v>
      </c>
      <c r="J30" s="6">
        <f t="shared" si="2"/>
        <v>3.6036036036036001E-2</v>
      </c>
      <c r="K30" s="6">
        <f t="shared" si="2"/>
        <v>1.2687427912341341E-2</v>
      </c>
      <c r="L30" s="6">
        <f t="shared" si="2"/>
        <v>1.1541632316570533E-2</v>
      </c>
      <c r="M30" s="6">
        <f t="shared" si="2"/>
        <v>2.3954908407703118E-2</v>
      </c>
      <c r="N30" s="6">
        <f t="shared" si="2"/>
        <v>2.8918449971081549E-3</v>
      </c>
      <c r="O30" s="6">
        <f t="shared" si="2"/>
        <v>3.6175710594314658E-3</v>
      </c>
      <c r="P30" s="6">
        <f t="shared" si="2"/>
        <v>6.7453625632377095E-3</v>
      </c>
    </row>
    <row r="31" spans="1:16" x14ac:dyDescent="0.3">
      <c r="C31" t="s">
        <v>100</v>
      </c>
      <c r="D31" s="5">
        <f>SUM(D19:D30)</f>
        <v>0.12085220029035372</v>
      </c>
      <c r="E31" s="5">
        <f t="shared" ref="E31:P31" si="3">SUM(E19:E30)</f>
        <v>-1.0960038075584964E-2</v>
      </c>
      <c r="F31" s="5">
        <f t="shared" si="3"/>
        <v>7.5858020928857975E-2</v>
      </c>
      <c r="G31" s="5">
        <f t="shared" si="3"/>
        <v>8.5207275393248891E-2</v>
      </c>
      <c r="H31" s="5">
        <f t="shared" si="3"/>
        <v>-0.17196654140370343</v>
      </c>
      <c r="I31" s="5">
        <f t="shared" si="3"/>
        <v>1.212892331833881E-2</v>
      </c>
      <c r="J31" s="5">
        <f t="shared" si="3"/>
        <v>-6.6466572857876549E-2</v>
      </c>
      <c r="K31" s="5">
        <f t="shared" si="3"/>
        <v>6.4492479670082731E-2</v>
      </c>
      <c r="L31" s="5">
        <f t="shared" si="3"/>
        <v>2.4990010110495772E-2</v>
      </c>
      <c r="M31" s="5">
        <f t="shared" si="3"/>
        <v>0.16602381892132637</v>
      </c>
      <c r="N31" s="5">
        <f t="shared" si="3"/>
        <v>3.7075142679248593E-2</v>
      </c>
      <c r="O31" s="5">
        <f t="shared" si="3"/>
        <v>6.2333124010194668E-2</v>
      </c>
      <c r="P31" s="5">
        <f t="shared" si="3"/>
        <v>3.3242003192595196E-2</v>
      </c>
    </row>
  </sheetData>
  <phoneticPr fontId="18" type="noConversion"/>
  <conditionalFormatting sqref="N18:P18">
    <cfRule type="cellIs" dxfId="0" priority="1" operator="equal">
      <formula>-$P$3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B571-B87E-4B5B-86EE-449D7FD26258}">
  <dimension ref="A1:M36"/>
  <sheetViews>
    <sheetView workbookViewId="0">
      <selection activeCell="N31" sqref="N31"/>
    </sheetView>
  </sheetViews>
  <sheetFormatPr defaultRowHeight="14.4" x14ac:dyDescent="0.3"/>
  <cols>
    <col min="7" max="7" width="10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48</v>
      </c>
      <c r="E1" t="s">
        <v>23</v>
      </c>
      <c r="F1" t="s">
        <v>53</v>
      </c>
      <c r="G1" t="s">
        <v>71</v>
      </c>
      <c r="H1" t="s">
        <v>61</v>
      </c>
      <c r="I1" t="s">
        <v>62</v>
      </c>
      <c r="J1" t="s">
        <v>63</v>
      </c>
      <c r="K1" t="s">
        <v>64</v>
      </c>
    </row>
    <row r="2" spans="1:13" x14ac:dyDescent="0.3">
      <c r="A2" t="s">
        <v>33</v>
      </c>
      <c r="B2">
        <v>2019</v>
      </c>
      <c r="C2" t="s">
        <v>31</v>
      </c>
      <c r="D2">
        <v>1461.8</v>
      </c>
      <c r="E2">
        <v>145.1</v>
      </c>
      <c r="F2">
        <v>3745.0000000000009</v>
      </c>
      <c r="G2" s="3">
        <f>DATE(B2,MATCH(C2,{"JANUARY","FEBRUARY","MARCH","APRIL","MAY","JUNE","JULY","AUGUST","SEPTEMBER","OCTOBER","NOVEMBER","DECEMBER"},0),1)</f>
        <v>43466</v>
      </c>
      <c r="H2" t="str">
        <f>IF(AND(B2=2020,OR(C2="JANUARY",C2="FEBRUARY")),"PRE-COVID",IF(B2&lt;2020,"PRE-COVID","POST-COVID"))</f>
        <v>PRE-COVID</v>
      </c>
      <c r="L2">
        <f ca="1">AVERAGEIF(H2:H36,"PRE-COVID",I13:I36)</f>
        <v>7.0404561019661713</v>
      </c>
      <c r="M2" t="s">
        <v>65</v>
      </c>
    </row>
    <row r="3" spans="1:13" x14ac:dyDescent="0.3">
      <c r="A3" t="s">
        <v>33</v>
      </c>
      <c r="B3">
        <v>2019</v>
      </c>
      <c r="C3" t="s">
        <v>34</v>
      </c>
      <c r="D3">
        <v>1463.6</v>
      </c>
      <c r="E3">
        <v>145.6</v>
      </c>
      <c r="F3">
        <v>3753.3</v>
      </c>
      <c r="G3" s="3">
        <f>DATE(B3,MATCH(C3,{"JANUARY","FEBRUARY","MARCH","APRIL","MAY","JUNE","JULY","AUGUST","SEPTEMBER","OCTOBER","NOVEMBER","DECEMBER"},0),1)</f>
        <v>43497</v>
      </c>
      <c r="H3" t="str">
        <f t="shared" ref="H3:H36" si="0">IF(AND(B3=2020,OR(C3="JANUARY",C3="FEBRUARY")),"PRE-COVID",IF(B3&lt;2020,"PRE-COVID","POST-COVID"))</f>
        <v>PRE-COVID</v>
      </c>
      <c r="L3">
        <f ca="1">AVERAGEIF(H2:H36,"PRE-COVID",J13:J36)</f>
        <v>4.0332825244055037</v>
      </c>
      <c r="M3" t="s">
        <v>66</v>
      </c>
    </row>
    <row r="4" spans="1:13" x14ac:dyDescent="0.3">
      <c r="A4" t="s">
        <v>33</v>
      </c>
      <c r="B4">
        <v>2019</v>
      </c>
      <c r="C4" t="s">
        <v>35</v>
      </c>
      <c r="D4">
        <v>1469.6</v>
      </c>
      <c r="E4">
        <v>146.19999999999999</v>
      </c>
      <c r="F4">
        <v>3763.6999999999994</v>
      </c>
      <c r="G4" s="3">
        <f>DATE(B4,MATCH(C4,{"JANUARY","FEBRUARY","MARCH","APRIL","MAY","JUNE","JULY","AUGUST","SEPTEMBER","OCTOBER","NOVEMBER","DECEMBER"},0),1)</f>
        <v>43525</v>
      </c>
      <c r="H4" t="str">
        <f t="shared" si="0"/>
        <v>PRE-COVID</v>
      </c>
      <c r="L4">
        <f ca="1">AVERAGEIF(H2:H36,"PRE-COVID",K13:K36)</f>
        <v>5.8473410350308654</v>
      </c>
      <c r="M4" t="s">
        <v>68</v>
      </c>
    </row>
    <row r="5" spans="1:13" x14ac:dyDescent="0.3">
      <c r="A5" t="s">
        <v>33</v>
      </c>
      <c r="B5">
        <v>2019</v>
      </c>
      <c r="C5" t="s">
        <v>37</v>
      </c>
      <c r="D5">
        <v>1497.4</v>
      </c>
      <c r="E5">
        <v>146.9</v>
      </c>
      <c r="F5">
        <v>3802.3999999999996</v>
      </c>
      <c r="G5" s="3">
        <f>DATE(B5,MATCH(C5,{"JANUARY","FEBRUARY","MARCH","APRIL","MAY","JUNE","JULY","AUGUST","SEPTEMBER","OCTOBER","NOVEMBER","DECEMBER"},0),1)</f>
        <v>43586</v>
      </c>
      <c r="H5" t="str">
        <f t="shared" si="0"/>
        <v>PRE-COVID</v>
      </c>
    </row>
    <row r="6" spans="1:13" x14ac:dyDescent="0.3">
      <c r="A6" t="s">
        <v>33</v>
      </c>
      <c r="B6">
        <v>2019</v>
      </c>
      <c r="C6" t="s">
        <v>38</v>
      </c>
      <c r="D6">
        <v>1514.2</v>
      </c>
      <c r="E6">
        <v>147.4</v>
      </c>
      <c r="F6">
        <v>3829.7000000000003</v>
      </c>
      <c r="G6" s="3">
        <f>DATE(B6,MATCH(C6,{"JANUARY","FEBRUARY","MARCH","APRIL","MAY","JUNE","JULY","AUGUST","SEPTEMBER","OCTOBER","NOVEMBER","DECEMBER"},0),1)</f>
        <v>43617</v>
      </c>
      <c r="H6" t="str">
        <f t="shared" si="0"/>
        <v>PRE-COVID</v>
      </c>
      <c r="L6">
        <f ca="1">AVERAGEIF(H2:H36,"POST-COVID",I13:I36)</f>
        <v>5.5016603998072471</v>
      </c>
      <c r="M6" t="s">
        <v>70</v>
      </c>
    </row>
    <row r="7" spans="1:13" x14ac:dyDescent="0.3">
      <c r="A7" t="s">
        <v>33</v>
      </c>
      <c r="B7">
        <v>2019</v>
      </c>
      <c r="C7" t="s">
        <v>39</v>
      </c>
      <c r="D7">
        <v>1534.8000000000002</v>
      </c>
      <c r="E7">
        <v>147.9</v>
      </c>
      <c r="F7">
        <v>3861.2000000000003</v>
      </c>
      <c r="G7" s="3">
        <f>DATE(B7,MATCH(C7,{"JANUARY","FEBRUARY","MARCH","APRIL","MAY","JUNE","JULY","AUGUST","SEPTEMBER","OCTOBER","NOVEMBER","DECEMBER"},0),1)</f>
        <v>43647</v>
      </c>
      <c r="H7" t="str">
        <f t="shared" si="0"/>
        <v>PRE-COVID</v>
      </c>
      <c r="L7">
        <f ca="1">AVERAGEIF(H2:H36,"POST-COVID",J13:J36)</f>
        <v>7.4270719661728331</v>
      </c>
      <c r="M7" t="s">
        <v>67</v>
      </c>
    </row>
    <row r="8" spans="1:13" x14ac:dyDescent="0.3">
      <c r="A8" t="s">
        <v>33</v>
      </c>
      <c r="B8">
        <v>2019</v>
      </c>
      <c r="C8" t="s">
        <v>40</v>
      </c>
      <c r="D8">
        <v>1547.3999999999999</v>
      </c>
      <c r="E8">
        <v>148.5</v>
      </c>
      <c r="F8">
        <v>3878.2000000000003</v>
      </c>
      <c r="G8" s="3">
        <f>DATE(B8,MATCH(C8,{"JANUARY","FEBRUARY","MARCH","APRIL","MAY","JUNE","JULY","AUGUST","SEPTEMBER","OCTOBER","NOVEMBER","DECEMBER"},0),1)</f>
        <v>43678</v>
      </c>
      <c r="H8" t="str">
        <f t="shared" si="0"/>
        <v>PRE-COVID</v>
      </c>
      <c r="L8">
        <f ca="1">AVERAGEIF(H2:H36,"POST-COVID",K13:K36)</f>
        <v>6.3020527232556143</v>
      </c>
      <c r="M8" t="s">
        <v>69</v>
      </c>
    </row>
    <row r="9" spans="1:13" x14ac:dyDescent="0.3">
      <c r="A9" t="s">
        <v>33</v>
      </c>
      <c r="B9">
        <v>2019</v>
      </c>
      <c r="C9" t="s">
        <v>41</v>
      </c>
      <c r="D9">
        <v>1557.3</v>
      </c>
      <c r="E9">
        <v>149</v>
      </c>
      <c r="F9">
        <v>3895.7</v>
      </c>
      <c r="G9" s="3">
        <f>DATE(B9,MATCH(C9,{"JANUARY","FEBRUARY","MARCH","APRIL","MAY","JUNE","JULY","AUGUST","SEPTEMBER","OCTOBER","NOVEMBER","DECEMBER"},0),1)</f>
        <v>43709</v>
      </c>
      <c r="H9" t="str">
        <f t="shared" si="0"/>
        <v>PRE-COVID</v>
      </c>
    </row>
    <row r="10" spans="1:13" x14ac:dyDescent="0.3">
      <c r="A10" t="s">
        <v>33</v>
      </c>
      <c r="B10">
        <v>2019</v>
      </c>
      <c r="C10" t="s">
        <v>42</v>
      </c>
      <c r="D10">
        <v>1581.9999999999998</v>
      </c>
      <c r="E10">
        <v>149.4</v>
      </c>
      <c r="F10">
        <v>3930.7</v>
      </c>
      <c r="G10" s="3">
        <f>DATE(B10,MATCH(C10,{"JANUARY","FEBRUARY","MARCH","APRIL","MAY","JUNE","JULY","AUGUST","SEPTEMBER","OCTOBER","NOVEMBER","DECEMBER"},0),1)</f>
        <v>43739</v>
      </c>
      <c r="H10" t="str">
        <f t="shared" si="0"/>
        <v>PRE-COVID</v>
      </c>
    </row>
    <row r="11" spans="1:13" x14ac:dyDescent="0.3">
      <c r="A11" t="s">
        <v>33</v>
      </c>
      <c r="B11">
        <v>2019</v>
      </c>
      <c r="C11" t="s">
        <v>44</v>
      </c>
      <c r="D11">
        <v>1602.1000000000001</v>
      </c>
      <c r="E11">
        <v>149.9</v>
      </c>
      <c r="F11">
        <v>3963.7000000000007</v>
      </c>
      <c r="G11" s="3">
        <f>DATE(B11,MATCH(C11,{"JANUARY","FEBRUARY","MARCH","APRIL","MAY","JUNE","JULY","AUGUST","SEPTEMBER","OCTOBER","NOVEMBER","DECEMBER"},0),1)</f>
        <v>43770</v>
      </c>
      <c r="H11" t="str">
        <f t="shared" si="0"/>
        <v>PRE-COVID</v>
      </c>
    </row>
    <row r="12" spans="1:13" x14ac:dyDescent="0.3">
      <c r="A12" t="s">
        <v>33</v>
      </c>
      <c r="B12">
        <v>2019</v>
      </c>
      <c r="C12" t="s">
        <v>45</v>
      </c>
      <c r="D12">
        <v>1630</v>
      </c>
      <c r="E12">
        <v>150.4</v>
      </c>
      <c r="F12">
        <v>4009</v>
      </c>
      <c r="G12" s="3">
        <f>DATE(B12,MATCH(C12,{"JANUARY","FEBRUARY","MARCH","APRIL","MAY","JUNE","JULY","AUGUST","SEPTEMBER","OCTOBER","NOVEMBER","DECEMBER"},0),1)</f>
        <v>43800</v>
      </c>
      <c r="H12" t="str">
        <f t="shared" si="0"/>
        <v>PRE-COVID</v>
      </c>
    </row>
    <row r="13" spans="1:13" x14ac:dyDescent="0.3">
      <c r="A13" t="s">
        <v>33</v>
      </c>
      <c r="B13">
        <v>2020</v>
      </c>
      <c r="C13" t="s">
        <v>31</v>
      </c>
      <c r="D13">
        <v>1618.1</v>
      </c>
      <c r="E13">
        <v>151.19999999999999</v>
      </c>
      <c r="F13">
        <v>4012.3999999999996</v>
      </c>
      <c r="G13" s="3">
        <f>DATE(B13,MATCH(C13,{"JANUARY","FEBRUARY","MARCH","APRIL","MAY","JUNE","JULY","AUGUST","SEPTEMBER","OCTOBER","NOVEMBER","DECEMBER"},0),1)</f>
        <v>43831</v>
      </c>
      <c r="H13" t="str">
        <f t="shared" si="0"/>
        <v>PRE-COVID</v>
      </c>
      <c r="I13">
        <f>(D13-D2)/D2*100</f>
        <v>10.692297167875219</v>
      </c>
      <c r="J13">
        <f>(E13-E2)/E2*100</f>
        <v>4.2039972432804928</v>
      </c>
      <c r="K13">
        <f>(F13-F2)/F2*100</f>
        <v>7.1401869158878153</v>
      </c>
    </row>
    <row r="14" spans="1:13" x14ac:dyDescent="0.3">
      <c r="A14" t="s">
        <v>33</v>
      </c>
      <c r="B14">
        <v>2020</v>
      </c>
      <c r="C14" t="s">
        <v>34</v>
      </c>
      <c r="D14">
        <v>1592.3</v>
      </c>
      <c r="E14">
        <v>151.69999999999999</v>
      </c>
      <c r="F14">
        <v>3989.5999999999995</v>
      </c>
      <c r="G14" s="3">
        <f>DATE(B14,MATCH(C14,{"JANUARY","FEBRUARY","MARCH","APRIL","MAY","JUNE","JULY","AUGUST","SEPTEMBER","OCTOBER","NOVEMBER","DECEMBER"},0),1)</f>
        <v>43862</v>
      </c>
      <c r="H14" t="str">
        <f t="shared" si="0"/>
        <v>PRE-COVID</v>
      </c>
      <c r="I14">
        <f t="shared" ref="I14:I36" si="1">(D14-D3)/D3*100</f>
        <v>8.7933861710849985</v>
      </c>
      <c r="J14">
        <f t="shared" ref="J14:J36" si="2">(E14-E3)/E3*100</f>
        <v>4.1895604395604362</v>
      </c>
      <c r="K14">
        <f t="shared" ref="K14:K36" si="3">(F14-F3)/F3*100</f>
        <v>6.2957930354621068</v>
      </c>
    </row>
    <row r="15" spans="1:13" x14ac:dyDescent="0.3">
      <c r="A15" t="s">
        <v>33</v>
      </c>
      <c r="B15">
        <v>2020</v>
      </c>
      <c r="C15" t="s">
        <v>35</v>
      </c>
      <c r="D15">
        <v>1580.3</v>
      </c>
      <c r="E15">
        <v>152.30000000000001</v>
      </c>
      <c r="F15">
        <v>3978.9000000000005</v>
      </c>
      <c r="G15" s="3">
        <f>DATE(B15,MATCH(C15,{"JANUARY","FEBRUARY","MARCH","APRIL","MAY","JUNE","JULY","AUGUST","SEPTEMBER","OCTOBER","NOVEMBER","DECEMBER"},0),1)</f>
        <v>43891</v>
      </c>
      <c r="H15" t="str">
        <f t="shared" si="0"/>
        <v>POST-COVID</v>
      </c>
      <c r="I15">
        <f t="shared" si="1"/>
        <v>7.5326619488296167</v>
      </c>
      <c r="J15">
        <f t="shared" si="2"/>
        <v>4.1723666210670469</v>
      </c>
      <c r="K15">
        <f t="shared" si="3"/>
        <v>5.717777718734256</v>
      </c>
    </row>
    <row r="16" spans="1:13" x14ac:dyDescent="0.3">
      <c r="A16" t="s">
        <v>33</v>
      </c>
      <c r="B16">
        <v>2020</v>
      </c>
      <c r="C16" t="s">
        <v>36</v>
      </c>
      <c r="D16">
        <v>1633.1</v>
      </c>
      <c r="E16">
        <v>150.69999999999999</v>
      </c>
      <c r="F16">
        <v>4024.3999999999996</v>
      </c>
      <c r="G16" s="3">
        <f>DATE(B16,MATCH(C16,{"JANUARY","FEBRUARY","MARCH","APRIL","MAY","JUNE","JULY","AUGUST","SEPTEMBER","OCTOBER","NOVEMBER","DECEMBER"},0),1)</f>
        <v>43922</v>
      </c>
      <c r="H16" t="str">
        <f t="shared" si="0"/>
        <v>POST-COVID</v>
      </c>
      <c r="I16">
        <f t="shared" si="1"/>
        <v>9.0623747829571126</v>
      </c>
      <c r="J16">
        <f t="shared" si="2"/>
        <v>2.5867937372362033</v>
      </c>
      <c r="K16">
        <f t="shared" si="3"/>
        <v>5.8384178413633494</v>
      </c>
    </row>
    <row r="17" spans="1:11" x14ac:dyDescent="0.3">
      <c r="A17" t="s">
        <v>33</v>
      </c>
      <c r="B17">
        <v>2020</v>
      </c>
      <c r="C17" t="s">
        <v>37</v>
      </c>
      <c r="D17">
        <v>1603.6566666666668</v>
      </c>
      <c r="E17">
        <v>150.69999999999999</v>
      </c>
      <c r="F17">
        <v>3950.8566666666661</v>
      </c>
      <c r="G17" s="3">
        <f>DATE(B17,MATCH(C17,{"JANUARY","FEBRUARY","MARCH","APRIL","MAY","JUNE","JULY","AUGUST","SEPTEMBER","OCTOBER","NOVEMBER","DECEMBER"},0),1)</f>
        <v>43952</v>
      </c>
      <c r="H17" t="str">
        <f t="shared" si="0"/>
        <v>POST-COVID</v>
      </c>
      <c r="I17">
        <f t="shared" si="1"/>
        <v>5.9078501298815675</v>
      </c>
      <c r="J17">
        <f t="shared" si="2"/>
        <v>2.238805970149242</v>
      </c>
      <c r="K17">
        <f t="shared" si="3"/>
        <v>3.1636072451279689</v>
      </c>
    </row>
    <row r="18" spans="1:11" x14ac:dyDescent="0.3">
      <c r="A18" t="s">
        <v>33</v>
      </c>
      <c r="B18">
        <v>2020</v>
      </c>
      <c r="C18" t="s">
        <v>38</v>
      </c>
      <c r="D18">
        <v>1622.7</v>
      </c>
      <c r="E18">
        <v>154.4</v>
      </c>
      <c r="F18">
        <v>4086.1000000000004</v>
      </c>
      <c r="G18" s="3">
        <f>DATE(B18,MATCH(C18,{"JANUARY","FEBRUARY","MARCH","APRIL","MAY","JUNE","JULY","AUGUST","SEPTEMBER","OCTOBER","NOVEMBER","DECEMBER"},0),1)</f>
        <v>43983</v>
      </c>
      <c r="H18" t="str">
        <f t="shared" si="0"/>
        <v>POST-COVID</v>
      </c>
      <c r="I18">
        <f t="shared" si="1"/>
        <v>5.727130570758395</v>
      </c>
      <c r="J18">
        <f t="shared" si="2"/>
        <v>4.3948613928329952</v>
      </c>
      <c r="K18">
        <f t="shared" si="3"/>
        <v>5.8246141096032344</v>
      </c>
    </row>
    <row r="19" spans="1:11" x14ac:dyDescent="0.3">
      <c r="A19" t="s">
        <v>33</v>
      </c>
      <c r="B19">
        <v>2020</v>
      </c>
      <c r="C19" t="s">
        <v>39</v>
      </c>
      <c r="D19">
        <v>1622.7</v>
      </c>
      <c r="E19">
        <v>154.4</v>
      </c>
      <c r="F19">
        <v>4086.1000000000004</v>
      </c>
      <c r="G19" s="3">
        <f>DATE(B19,MATCH(C19,{"JANUARY","FEBRUARY","MARCH","APRIL","MAY","JUNE","JULY","AUGUST","SEPTEMBER","OCTOBER","NOVEMBER","DECEMBER"},0),1)</f>
        <v>44013</v>
      </c>
      <c r="H19" t="str">
        <f t="shared" si="0"/>
        <v>POST-COVID</v>
      </c>
      <c r="I19">
        <f t="shared" si="1"/>
        <v>4.8662272198526679</v>
      </c>
      <c r="J19">
        <f t="shared" si="2"/>
        <v>3.9730639730639767</v>
      </c>
      <c r="K19">
        <f t="shared" si="3"/>
        <v>5.3607343613016365</v>
      </c>
    </row>
    <row r="20" spans="1:11" x14ac:dyDescent="0.3">
      <c r="A20" t="s">
        <v>33</v>
      </c>
      <c r="B20">
        <v>2020</v>
      </c>
      <c r="C20" t="s">
        <v>40</v>
      </c>
      <c r="D20">
        <v>1653.4999999999998</v>
      </c>
      <c r="E20">
        <v>155</v>
      </c>
      <c r="F20">
        <v>4128.0999999999995</v>
      </c>
      <c r="G20" s="3">
        <f>DATE(B20,MATCH(C20,{"JANUARY","FEBRUARY","MARCH","APRIL","MAY","JUNE","JULY","AUGUST","SEPTEMBER","OCTOBER","NOVEMBER","DECEMBER"},0),1)</f>
        <v>44044</v>
      </c>
      <c r="H20" t="str">
        <f t="shared" si="0"/>
        <v>POST-COVID</v>
      </c>
      <c r="I20">
        <f t="shared" si="1"/>
        <v>6.1773582482501652</v>
      </c>
      <c r="J20">
        <f t="shared" si="2"/>
        <v>4.0268456375838921</v>
      </c>
      <c r="K20">
        <f t="shared" si="3"/>
        <v>5.9655517621993397</v>
      </c>
    </row>
    <row r="21" spans="1:11" x14ac:dyDescent="0.3">
      <c r="A21" t="s">
        <v>33</v>
      </c>
      <c r="B21">
        <v>2020</v>
      </c>
      <c r="C21" t="s">
        <v>41</v>
      </c>
      <c r="D21">
        <v>1667.4</v>
      </c>
      <c r="E21">
        <v>155.6</v>
      </c>
      <c r="F21">
        <v>4151.4000000000005</v>
      </c>
      <c r="G21" s="3">
        <f>DATE(B21,MATCH(C21,{"JANUARY","FEBRUARY","MARCH","APRIL","MAY","JUNE","JULY","AUGUST","SEPTEMBER","OCTOBER","NOVEMBER","DECEMBER"},0),1)</f>
        <v>44075</v>
      </c>
      <c r="H21" t="str">
        <f t="shared" si="0"/>
        <v>POST-COVID</v>
      </c>
      <c r="I21">
        <f t="shared" si="1"/>
        <v>5.3982300884955956</v>
      </c>
      <c r="J21">
        <f t="shared" si="2"/>
        <v>4.1499330655957083</v>
      </c>
      <c r="K21">
        <f t="shared" si="3"/>
        <v>5.6147759940977622</v>
      </c>
    </row>
    <row r="22" spans="1:11" x14ac:dyDescent="0.3">
      <c r="A22" t="s">
        <v>33</v>
      </c>
      <c r="B22">
        <v>2020</v>
      </c>
      <c r="C22" t="s">
        <v>42</v>
      </c>
      <c r="D22">
        <v>1698.3000000000002</v>
      </c>
      <c r="E22">
        <v>156.30000000000001</v>
      </c>
      <c r="F22">
        <v>4197.5</v>
      </c>
      <c r="G22" s="3">
        <f>DATE(B22,MATCH(C22,{"JANUARY","FEBRUARY","MARCH","APRIL","MAY","JUNE","JULY","AUGUST","SEPTEMBER","OCTOBER","NOVEMBER","DECEMBER"},0),1)</f>
        <v>44105</v>
      </c>
      <c r="H22" t="str">
        <f t="shared" si="0"/>
        <v>POST-COVID</v>
      </c>
      <c r="I22">
        <f t="shared" si="1"/>
        <v>6.0046189376443442</v>
      </c>
      <c r="J22">
        <f t="shared" si="2"/>
        <v>4.269513008672452</v>
      </c>
      <c r="K22">
        <f t="shared" si="3"/>
        <v>5.8985291520548788</v>
      </c>
    </row>
    <row r="23" spans="1:11" x14ac:dyDescent="0.3">
      <c r="A23" t="s">
        <v>33</v>
      </c>
      <c r="B23">
        <v>2020</v>
      </c>
      <c r="C23" t="s">
        <v>44</v>
      </c>
      <c r="D23">
        <v>1731</v>
      </c>
      <c r="E23">
        <v>157.19999999999999</v>
      </c>
      <c r="F23">
        <v>4253.7999999999993</v>
      </c>
      <c r="G23" s="3">
        <f>DATE(B23,MATCH(C23,{"JANUARY","FEBRUARY","MARCH","APRIL","MAY","JUNE","JULY","AUGUST","SEPTEMBER","OCTOBER","NOVEMBER","DECEMBER"},0),1)</f>
        <v>44136</v>
      </c>
      <c r="H23" t="str">
        <f t="shared" si="0"/>
        <v>POST-COVID</v>
      </c>
      <c r="I23">
        <f t="shared" si="1"/>
        <v>6.1963190184049086</v>
      </c>
      <c r="J23">
        <f t="shared" si="2"/>
        <v>4.521276595744669</v>
      </c>
      <c r="K23">
        <f t="shared" si="3"/>
        <v>6.1062609129458538</v>
      </c>
    </row>
    <row r="24" spans="1:11" x14ac:dyDescent="0.3">
      <c r="A24" t="s">
        <v>33</v>
      </c>
      <c r="B24">
        <v>2020</v>
      </c>
      <c r="C24" t="s">
        <v>45</v>
      </c>
      <c r="D24">
        <v>1742.8000000000002</v>
      </c>
      <c r="E24">
        <v>158.30000000000001</v>
      </c>
      <c r="F24">
        <v>4275.3</v>
      </c>
      <c r="G24" s="3">
        <f>DATE(B24,MATCH(C24,{"JANUARY","FEBRUARY","MARCH","APRIL","MAY","JUNE","JULY","AUGUST","SEPTEMBER","OCTOBER","NOVEMBER","DECEMBER"},0),1)</f>
        <v>44166</v>
      </c>
      <c r="H24" t="str">
        <f t="shared" si="0"/>
        <v>POST-COVID</v>
      </c>
      <c r="I24">
        <f t="shared" si="1"/>
        <v>7.7065694332859707</v>
      </c>
      <c r="J24">
        <f t="shared" si="2"/>
        <v>4.6957671957672114</v>
      </c>
      <c r="K24">
        <f t="shared" si="3"/>
        <v>6.5521882165287746</v>
      </c>
    </row>
    <row r="25" spans="1:11" x14ac:dyDescent="0.3">
      <c r="A25" t="s">
        <v>33</v>
      </c>
      <c r="B25">
        <v>2021</v>
      </c>
      <c r="C25" t="s">
        <v>31</v>
      </c>
      <c r="D25">
        <v>1711.1</v>
      </c>
      <c r="E25">
        <v>159.30000000000001</v>
      </c>
      <c r="F25">
        <v>4250.4000000000005</v>
      </c>
      <c r="G25" s="3">
        <f>DATE(B25,MATCH(C25,{"JANUARY","FEBRUARY","MARCH","APRIL","MAY","JUNE","JULY","AUGUST","SEPTEMBER","OCTOBER","NOVEMBER","DECEMBER"},0),1)</f>
        <v>44197</v>
      </c>
      <c r="H25" t="str">
        <f t="shared" si="0"/>
        <v>POST-COVID</v>
      </c>
      <c r="I25">
        <f t="shared" si="1"/>
        <v>7.460905608239651</v>
      </c>
      <c r="J25">
        <f t="shared" si="2"/>
        <v>5.0098879367172202</v>
      </c>
      <c r="K25">
        <f t="shared" si="3"/>
        <v>6.536996190094273</v>
      </c>
    </row>
    <row r="26" spans="1:11" x14ac:dyDescent="0.3">
      <c r="A26" t="s">
        <v>33</v>
      </c>
      <c r="B26">
        <v>2021</v>
      </c>
      <c r="C26" t="s">
        <v>34</v>
      </c>
      <c r="D26">
        <v>1684.1000000000001</v>
      </c>
      <c r="E26">
        <v>161.30000000000001</v>
      </c>
      <c r="F26">
        <v>4234.3000000000011</v>
      </c>
      <c r="G26" s="3">
        <f>DATE(B26,MATCH(C26,{"JANUARY","FEBRUARY","MARCH","APRIL","MAY","JUNE","JULY","AUGUST","SEPTEMBER","OCTOBER","NOVEMBER","DECEMBER"},0),1)</f>
        <v>44228</v>
      </c>
      <c r="H26" t="str">
        <f t="shared" si="0"/>
        <v>POST-COVID</v>
      </c>
      <c r="I26">
        <f t="shared" si="1"/>
        <v>6.5683730937163958</v>
      </c>
      <c r="J26">
        <f t="shared" si="2"/>
        <v>5.9093893630991463</v>
      </c>
      <c r="K26">
        <f t="shared" si="3"/>
        <v>6.4188594837769353</v>
      </c>
    </row>
    <row r="27" spans="1:11" x14ac:dyDescent="0.3">
      <c r="A27" t="s">
        <v>33</v>
      </c>
      <c r="B27">
        <v>2021</v>
      </c>
      <c r="C27" t="s">
        <v>35</v>
      </c>
      <c r="D27">
        <v>1683.3999999999999</v>
      </c>
      <c r="E27">
        <v>161.69999999999999</v>
      </c>
      <c r="F27">
        <v>4241.2999999999993</v>
      </c>
      <c r="G27" s="3">
        <f>DATE(B27,MATCH(C27,{"JANUARY","FEBRUARY","MARCH","APRIL","MAY","JUNE","JULY","AUGUST","SEPTEMBER","OCTOBER","NOVEMBER","DECEMBER"},0),1)</f>
        <v>44256</v>
      </c>
      <c r="H27" t="str">
        <f t="shared" si="0"/>
        <v>POST-COVID</v>
      </c>
      <c r="I27">
        <f t="shared" si="1"/>
        <v>3.080031841283446</v>
      </c>
      <c r="J27">
        <f t="shared" si="2"/>
        <v>7.2992700729927016</v>
      </c>
      <c r="K27">
        <f t="shared" si="3"/>
        <v>5.3896232978829053</v>
      </c>
    </row>
    <row r="28" spans="1:11" x14ac:dyDescent="0.3">
      <c r="A28" t="s">
        <v>33</v>
      </c>
      <c r="B28">
        <v>2021</v>
      </c>
      <c r="C28" t="s">
        <v>36</v>
      </c>
      <c r="D28">
        <v>1701.5</v>
      </c>
      <c r="E28">
        <v>162.30000000000001</v>
      </c>
      <c r="F28">
        <v>4276.2999999999993</v>
      </c>
      <c r="G28" s="3">
        <f>DATE(B28,MATCH(C28,{"JANUARY","FEBRUARY","MARCH","APRIL","MAY","JUNE","JULY","AUGUST","SEPTEMBER","OCTOBER","NOVEMBER","DECEMBER"},0),1)</f>
        <v>44287</v>
      </c>
      <c r="H28" t="str">
        <f t="shared" si="0"/>
        <v>POST-COVID</v>
      </c>
      <c r="I28">
        <f t="shared" si="1"/>
        <v>6.1012644019812994</v>
      </c>
      <c r="J28">
        <f t="shared" si="2"/>
        <v>7.6974120769741363</v>
      </c>
      <c r="K28">
        <f t="shared" si="3"/>
        <v>8.237285246997061</v>
      </c>
    </row>
    <row r="29" spans="1:11" x14ac:dyDescent="0.3">
      <c r="A29" t="s">
        <v>33</v>
      </c>
      <c r="B29">
        <v>2021</v>
      </c>
      <c r="C29" t="s">
        <v>37</v>
      </c>
      <c r="D29">
        <v>1734.9</v>
      </c>
      <c r="E29">
        <v>165.8</v>
      </c>
      <c r="F29">
        <v>4355.1000000000013</v>
      </c>
      <c r="G29" s="3">
        <f>DATE(B29,MATCH(C29,{"JANUARY","FEBRUARY","MARCH","APRIL","MAY","JUNE","JULY","AUGUST","SEPTEMBER","OCTOBER","NOVEMBER","DECEMBER"},0),1)</f>
        <v>44317</v>
      </c>
      <c r="H29" t="str">
        <f t="shared" si="0"/>
        <v>POST-COVID</v>
      </c>
      <c r="I29">
        <f t="shared" si="1"/>
        <v>6.9144019227213933</v>
      </c>
      <c r="J29">
        <f t="shared" si="2"/>
        <v>7.383419689119175</v>
      </c>
      <c r="K29">
        <f t="shared" si="3"/>
        <v>6.5832945840777484</v>
      </c>
    </row>
    <row r="30" spans="1:11" x14ac:dyDescent="0.3">
      <c r="A30" t="s">
        <v>33</v>
      </c>
      <c r="B30">
        <v>2021</v>
      </c>
      <c r="C30" t="s">
        <v>38</v>
      </c>
      <c r="D30">
        <v>1751.1999999999998</v>
      </c>
      <c r="E30">
        <v>166.3</v>
      </c>
      <c r="F30">
        <v>4385.8</v>
      </c>
      <c r="G30" s="3">
        <f>DATE(B30,MATCH(C30,{"JANUARY","FEBRUARY","MARCH","APRIL","MAY","JUNE","JULY","AUGUST","SEPTEMBER","OCTOBER","NOVEMBER","DECEMBER"},0),1)</f>
        <v>44348</v>
      </c>
      <c r="H30" t="str">
        <f t="shared" si="0"/>
        <v>POST-COVID</v>
      </c>
      <c r="I30">
        <f t="shared" si="1"/>
        <v>7.9189005977691362</v>
      </c>
      <c r="J30">
        <f t="shared" si="2"/>
        <v>7.7072538860103661</v>
      </c>
      <c r="K30">
        <f t="shared" si="3"/>
        <v>7.3346222559408671</v>
      </c>
    </row>
    <row r="31" spans="1:11" x14ac:dyDescent="0.3">
      <c r="A31" t="s">
        <v>33</v>
      </c>
      <c r="B31">
        <v>2021</v>
      </c>
      <c r="C31" t="s">
        <v>39</v>
      </c>
      <c r="D31">
        <v>1758</v>
      </c>
      <c r="E31">
        <v>167</v>
      </c>
      <c r="F31">
        <v>4413.7</v>
      </c>
      <c r="G31" s="3">
        <f>DATE(B31,MATCH(C31,{"JANUARY","FEBRUARY","MARCH","APRIL","MAY","JUNE","JULY","AUGUST","SEPTEMBER","OCTOBER","NOVEMBER","DECEMBER"},0),1)</f>
        <v>44378</v>
      </c>
      <c r="H31" t="str">
        <f t="shared" si="0"/>
        <v>POST-COVID</v>
      </c>
      <c r="I31">
        <f t="shared" si="1"/>
        <v>6.3199274266707128</v>
      </c>
      <c r="J31">
        <f t="shared" si="2"/>
        <v>7.741935483870968</v>
      </c>
      <c r="K31">
        <f t="shared" si="3"/>
        <v>6.9184370533659649</v>
      </c>
    </row>
    <row r="32" spans="1:11" x14ac:dyDescent="0.3">
      <c r="A32" t="s">
        <v>33</v>
      </c>
      <c r="B32">
        <v>2021</v>
      </c>
      <c r="C32" t="s">
        <v>40</v>
      </c>
      <c r="D32">
        <v>1765.2</v>
      </c>
      <c r="E32">
        <v>168.4</v>
      </c>
      <c r="F32">
        <v>4426.2999999999993</v>
      </c>
      <c r="G32" s="3">
        <f>DATE(B32,MATCH(C32,{"JANUARY","FEBRUARY","MARCH","APRIL","MAY","JUNE","JULY","AUGUST","SEPTEMBER","OCTOBER","NOVEMBER","DECEMBER"},0),1)</f>
        <v>44409</v>
      </c>
      <c r="H32" t="str">
        <f t="shared" si="0"/>
        <v>POST-COVID</v>
      </c>
      <c r="I32">
        <f t="shared" si="1"/>
        <v>5.865419215545157</v>
      </c>
      <c r="J32">
        <f t="shared" si="2"/>
        <v>8.2262210796915252</v>
      </c>
      <c r="K32">
        <f t="shared" si="3"/>
        <v>6.6218625042154144</v>
      </c>
    </row>
    <row r="33" spans="1:11" x14ac:dyDescent="0.3">
      <c r="A33" t="s">
        <v>33</v>
      </c>
      <c r="B33">
        <v>2021</v>
      </c>
      <c r="C33" t="s">
        <v>41</v>
      </c>
      <c r="D33">
        <v>1765.2</v>
      </c>
      <c r="E33">
        <v>168.4</v>
      </c>
      <c r="F33">
        <v>4426.5</v>
      </c>
      <c r="G33" s="3">
        <f>DATE(B33,MATCH(C33,{"JANUARY","FEBRUARY","MARCH","APRIL","MAY","JUNE","JULY","AUGUST","SEPTEMBER","OCTOBER","NOVEMBER","DECEMBER"},0),1)</f>
        <v>44440</v>
      </c>
      <c r="H33" t="str">
        <f t="shared" si="0"/>
        <v>POST-COVID</v>
      </c>
      <c r="I33">
        <f t="shared" si="1"/>
        <v>3.9392333509980482</v>
      </c>
      <c r="J33">
        <f t="shared" si="2"/>
        <v>7.7415227127319213</v>
      </c>
      <c r="K33">
        <f t="shared" si="3"/>
        <v>5.4556283502084568</v>
      </c>
    </row>
    <row r="34" spans="1:11" x14ac:dyDescent="0.3">
      <c r="A34" t="s">
        <v>33</v>
      </c>
      <c r="B34">
        <v>2021</v>
      </c>
      <c r="C34" t="s">
        <v>42</v>
      </c>
      <c r="D34">
        <v>1799.7000000000003</v>
      </c>
      <c r="E34">
        <v>169.1</v>
      </c>
      <c r="F34">
        <v>4475.2999999999993</v>
      </c>
      <c r="G34" s="3">
        <f>DATE(B34,MATCH(C34,{"JANUARY","FEBRUARY","MARCH","APRIL","MAY","JUNE","JULY","AUGUST","SEPTEMBER","OCTOBER","NOVEMBER","DECEMBER"},0),1)</f>
        <v>44470</v>
      </c>
      <c r="H34" t="str">
        <f t="shared" si="0"/>
        <v>POST-COVID</v>
      </c>
      <c r="I34">
        <f t="shared" si="1"/>
        <v>3.9688041594454231</v>
      </c>
      <c r="J34">
        <f t="shared" si="2"/>
        <v>7.5699745547073833</v>
      </c>
      <c r="K34">
        <f t="shared" si="3"/>
        <v>5.207108937890828</v>
      </c>
    </row>
    <row r="35" spans="1:11" x14ac:dyDescent="0.3">
      <c r="A35" t="s">
        <v>33</v>
      </c>
      <c r="B35">
        <v>2021</v>
      </c>
      <c r="C35" t="s">
        <v>44</v>
      </c>
      <c r="D35">
        <v>1819.5</v>
      </c>
      <c r="E35">
        <v>169.9</v>
      </c>
      <c r="F35">
        <v>4503.9000000000005</v>
      </c>
      <c r="G35" s="3">
        <f>DATE(B35,MATCH(C35,{"JANUARY","FEBRUARY","MARCH","APRIL","MAY","JUNE","JULY","AUGUST","SEPTEMBER","OCTOBER","NOVEMBER","DECEMBER"},0),1)</f>
        <v>44501</v>
      </c>
      <c r="H35" t="str">
        <f t="shared" si="0"/>
        <v>POST-COVID</v>
      </c>
      <c r="I35">
        <f t="shared" si="1"/>
        <v>4.4009639660316626</v>
      </c>
      <c r="J35">
        <f t="shared" si="2"/>
        <v>7.3278584965255797</v>
      </c>
      <c r="K35">
        <f t="shared" si="3"/>
        <v>5.3469931934601167</v>
      </c>
    </row>
    <row r="36" spans="1:11" x14ac:dyDescent="0.3">
      <c r="A36" t="s">
        <v>33</v>
      </c>
      <c r="B36">
        <v>2021</v>
      </c>
      <c r="C36" t="s">
        <v>45</v>
      </c>
      <c r="D36">
        <v>1804.2000000000003</v>
      </c>
      <c r="E36">
        <v>170.6</v>
      </c>
      <c r="F36">
        <v>4497.3</v>
      </c>
      <c r="G36" s="3">
        <f>DATE(B36,MATCH(C36,{"JANUARY","FEBRUARY","MARCH","APRIL","MAY","JUNE","JULY","AUGUST","SEPTEMBER","OCTOBER","NOVEMBER","DECEMBER"},0),1)</f>
        <v>44531</v>
      </c>
      <c r="H36" t="str">
        <f t="shared" si="0"/>
        <v>POST-COVID</v>
      </c>
      <c r="I36">
        <f t="shared" si="1"/>
        <v>5.4409444217170453</v>
      </c>
      <c r="J36">
        <f t="shared" si="2"/>
        <v>7.0935342121782696</v>
      </c>
      <c r="K36">
        <f t="shared" si="3"/>
        <v>5.8088650479954733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0045-6779-4B0B-8402-C2C0746E0EB7}">
  <dimension ref="A1:AA30"/>
  <sheetViews>
    <sheetView topLeftCell="B2" zoomScale="98" zoomScaleNormal="98" workbookViewId="0">
      <selection activeCell="N8" sqref="N8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21</v>
      </c>
      <c r="E1" t="s">
        <v>48</v>
      </c>
      <c r="F1" t="s">
        <v>49</v>
      </c>
      <c r="G1" t="s">
        <v>16</v>
      </c>
      <c r="H1" t="s">
        <v>50</v>
      </c>
      <c r="I1" t="s">
        <v>51</v>
      </c>
      <c r="J1" t="s">
        <v>23</v>
      </c>
      <c r="K1" t="s">
        <v>24</v>
      </c>
      <c r="L1" t="s">
        <v>52</v>
      </c>
      <c r="M1" t="s">
        <v>21</v>
      </c>
      <c r="N1" t="s">
        <v>62</v>
      </c>
      <c r="O1" t="s">
        <v>72</v>
      </c>
      <c r="P1" t="s">
        <v>73</v>
      </c>
      <c r="Q1" t="s">
        <v>77</v>
      </c>
      <c r="R1" t="s">
        <v>76</v>
      </c>
      <c r="S1" t="s">
        <v>63</v>
      </c>
      <c r="T1" t="s">
        <v>74</v>
      </c>
      <c r="U1" t="s">
        <v>75</v>
      </c>
    </row>
    <row r="2" spans="1:27" x14ac:dyDescent="0.3">
      <c r="A2" t="s">
        <v>33</v>
      </c>
      <c r="B2">
        <v>2021</v>
      </c>
      <c r="C2" t="s">
        <v>31</v>
      </c>
      <c r="D2">
        <v>147.9</v>
      </c>
      <c r="E2">
        <v>1711.1</v>
      </c>
      <c r="F2">
        <v>365.4</v>
      </c>
      <c r="G2">
        <v>186.5</v>
      </c>
      <c r="H2">
        <v>455.8</v>
      </c>
      <c r="I2">
        <v>307.7</v>
      </c>
      <c r="J2">
        <v>159.30000000000001</v>
      </c>
      <c r="K2">
        <v>141.9</v>
      </c>
      <c r="L2">
        <v>774.8</v>
      </c>
    </row>
    <row r="3" spans="1:27" x14ac:dyDescent="0.3">
      <c r="A3" t="s">
        <v>33</v>
      </c>
      <c r="B3">
        <v>2021</v>
      </c>
      <c r="C3" t="s">
        <v>34</v>
      </c>
      <c r="D3">
        <v>152.4</v>
      </c>
      <c r="E3">
        <v>1684.1000000000001</v>
      </c>
      <c r="F3">
        <v>355.2</v>
      </c>
      <c r="G3">
        <v>188.3</v>
      </c>
      <c r="H3">
        <v>460.40000000000003</v>
      </c>
      <c r="I3">
        <v>310.70000000000005</v>
      </c>
      <c r="J3">
        <v>161.30000000000001</v>
      </c>
      <c r="K3">
        <v>145.1</v>
      </c>
      <c r="L3">
        <v>776.80000000000007</v>
      </c>
      <c r="M3">
        <f t="shared" ref="M3:U3" si="0">(D3-D2)/D2*100</f>
        <v>3.0425963488843815</v>
      </c>
      <c r="N3">
        <f t="shared" si="0"/>
        <v>-1.5779323242358585</v>
      </c>
      <c r="O3">
        <f t="shared" si="0"/>
        <v>-2.7914614121510644</v>
      </c>
      <c r="P3">
        <f t="shared" si="0"/>
        <v>0.965147453083116</v>
      </c>
      <c r="Q3">
        <f t="shared" si="0"/>
        <v>1.0092145677928965</v>
      </c>
      <c r="R3">
        <f t="shared" si="0"/>
        <v>0.97497562560937834</v>
      </c>
      <c r="S3">
        <f t="shared" si="0"/>
        <v>1.2554927809165097</v>
      </c>
      <c r="T3">
        <f t="shared" si="0"/>
        <v>2.2551092318534098</v>
      </c>
      <c r="U3">
        <f t="shared" si="0"/>
        <v>0.25813113061436677</v>
      </c>
      <c r="W3">
        <f>CORREL(M3:M30,N3:N30)</f>
        <v>0.11142559232867921</v>
      </c>
      <c r="X3" t="s">
        <v>78</v>
      </c>
    </row>
    <row r="4" spans="1:27" x14ac:dyDescent="0.3">
      <c r="A4" t="s">
        <v>33</v>
      </c>
      <c r="B4">
        <v>2021</v>
      </c>
      <c r="C4" t="s">
        <v>35</v>
      </c>
      <c r="D4">
        <v>155.5</v>
      </c>
      <c r="E4">
        <v>1683.3999999999999</v>
      </c>
      <c r="F4">
        <v>356</v>
      </c>
      <c r="G4">
        <v>188.1</v>
      </c>
      <c r="H4">
        <v>462.1</v>
      </c>
      <c r="I4">
        <v>311.10000000000002</v>
      </c>
      <c r="J4">
        <v>161.69999999999999</v>
      </c>
      <c r="K4">
        <v>146.19999999999999</v>
      </c>
      <c r="L4">
        <v>777.2</v>
      </c>
      <c r="M4">
        <f t="shared" ref="M4:M30" si="1">(D4-D3)/D3*100</f>
        <v>2.0341207349081327</v>
      </c>
      <c r="N4">
        <f t="shared" ref="N4:N30" si="2">(E4-E3)/E3*100</f>
        <v>-4.1565227718085199E-2</v>
      </c>
      <c r="O4">
        <f t="shared" ref="O4:O30" si="3">(F4-F3)/F3*100</f>
        <v>0.22522522522522842</v>
      </c>
      <c r="P4">
        <f t="shared" ref="P4:P30" si="4">(G4-G3)/G3*100</f>
        <v>-0.10621348911312642</v>
      </c>
      <c r="Q4">
        <f t="shared" ref="Q4:Q30" si="5">(H4-H3)/H3*100</f>
        <v>0.36924413553431551</v>
      </c>
      <c r="R4">
        <f t="shared" ref="R4:R30" si="6">(I4-I3)/I3*100</f>
        <v>0.12874155133568627</v>
      </c>
      <c r="S4">
        <f t="shared" ref="S4:S30" si="7">(J4-J3)/J3*100</f>
        <v>0.24798512089273234</v>
      </c>
      <c r="T4">
        <f t="shared" ref="T4:T30" si="8">(K4-K3)/K3*100</f>
        <v>0.75809786354238073</v>
      </c>
      <c r="U4">
        <f t="shared" ref="U4:U30" si="9">(L4-L3)/L3*100</f>
        <v>5.1493305870233944E-2</v>
      </c>
      <c r="W4">
        <f>CORREL(M3:M30,O3:O30)</f>
        <v>-5.9621533608395873E-2</v>
      </c>
      <c r="X4" t="s">
        <v>78</v>
      </c>
      <c r="AA4" t="s">
        <v>49</v>
      </c>
    </row>
    <row r="5" spans="1:27" x14ac:dyDescent="0.3">
      <c r="A5" t="s">
        <v>33</v>
      </c>
      <c r="B5">
        <v>2021</v>
      </c>
      <c r="C5" t="s">
        <v>36</v>
      </c>
      <c r="D5">
        <v>155.6</v>
      </c>
      <c r="E5">
        <v>1701.5</v>
      </c>
      <c r="F5">
        <v>362.6</v>
      </c>
      <c r="G5">
        <v>188.8</v>
      </c>
      <c r="H5">
        <v>464.6</v>
      </c>
      <c r="I5">
        <v>313.20000000000005</v>
      </c>
      <c r="J5">
        <v>162.30000000000001</v>
      </c>
      <c r="K5">
        <v>146.6</v>
      </c>
      <c r="L5">
        <v>781.09999999999991</v>
      </c>
      <c r="M5">
        <f t="shared" si="1"/>
        <v>6.4308681672022069E-2</v>
      </c>
      <c r="N5">
        <f t="shared" si="2"/>
        <v>1.0752049423785279</v>
      </c>
      <c r="O5">
        <f t="shared" si="3"/>
        <v>1.8539325842696692</v>
      </c>
      <c r="P5">
        <f t="shared" si="4"/>
        <v>0.37214247740564438</v>
      </c>
      <c r="Q5">
        <f t="shared" si="5"/>
        <v>0.5410084397316598</v>
      </c>
      <c r="R5">
        <f t="shared" si="6"/>
        <v>0.67502410800386459</v>
      </c>
      <c r="S5">
        <f t="shared" si="7"/>
        <v>0.3710575139146709</v>
      </c>
      <c r="T5">
        <f t="shared" si="8"/>
        <v>0.27359781121751414</v>
      </c>
      <c r="U5">
        <f t="shared" si="9"/>
        <v>0.5018013381368841</v>
      </c>
      <c r="W5">
        <f>CORREL(M3:M30,P3:P30)</f>
        <v>0.3747319501895805</v>
      </c>
      <c r="X5" t="s">
        <v>79</v>
      </c>
    </row>
    <row r="6" spans="1:27" x14ac:dyDescent="0.3">
      <c r="A6" t="s">
        <v>33</v>
      </c>
      <c r="B6">
        <v>2021</v>
      </c>
      <c r="C6" t="s">
        <v>37</v>
      </c>
      <c r="D6">
        <v>159.4</v>
      </c>
      <c r="E6">
        <v>1734.9</v>
      </c>
      <c r="F6">
        <v>370.8</v>
      </c>
      <c r="G6">
        <v>191.9</v>
      </c>
      <c r="H6">
        <v>474.29999999999995</v>
      </c>
      <c r="I6">
        <v>316.29999999999995</v>
      </c>
      <c r="J6">
        <v>165.8</v>
      </c>
      <c r="K6">
        <v>148.9</v>
      </c>
      <c r="L6">
        <v>792.80000000000007</v>
      </c>
      <c r="M6">
        <f t="shared" si="1"/>
        <v>2.4421593830334265</v>
      </c>
      <c r="N6">
        <f t="shared" si="2"/>
        <v>1.9629738466059414</v>
      </c>
      <c r="O6">
        <f t="shared" si="3"/>
        <v>2.2614451185879725</v>
      </c>
      <c r="P6">
        <f t="shared" si="4"/>
        <v>1.6419491525423699</v>
      </c>
      <c r="Q6">
        <f t="shared" si="5"/>
        <v>2.0878174773998994</v>
      </c>
      <c r="R6">
        <f t="shared" si="6"/>
        <v>0.98978288633458122</v>
      </c>
      <c r="S6">
        <f t="shared" si="7"/>
        <v>2.1565003080714726</v>
      </c>
      <c r="T6">
        <f t="shared" si="8"/>
        <v>1.5688949522510309</v>
      </c>
      <c r="U6">
        <f t="shared" si="9"/>
        <v>1.4978875944181489</v>
      </c>
      <c r="W6">
        <f>CORREL(M3:M30,Q3:Q30)</f>
        <v>0.54035623163622648</v>
      </c>
      <c r="X6" t="s">
        <v>80</v>
      </c>
    </row>
    <row r="7" spans="1:27" x14ac:dyDescent="0.3">
      <c r="A7" t="s">
        <v>33</v>
      </c>
      <c r="B7">
        <v>2021</v>
      </c>
      <c r="C7" t="s">
        <v>38</v>
      </c>
      <c r="D7">
        <v>159.80000000000001</v>
      </c>
      <c r="E7">
        <v>1751.1999999999998</v>
      </c>
      <c r="F7">
        <v>382.7</v>
      </c>
      <c r="G7">
        <v>190.8</v>
      </c>
      <c r="H7">
        <v>474.7</v>
      </c>
      <c r="I7">
        <v>315.3</v>
      </c>
      <c r="J7">
        <v>166.3</v>
      </c>
      <c r="K7">
        <v>150.69999999999999</v>
      </c>
      <c r="L7">
        <v>794.3</v>
      </c>
      <c r="M7">
        <f t="shared" si="1"/>
        <v>0.25094102885822184</v>
      </c>
      <c r="N7">
        <f t="shared" si="2"/>
        <v>0.93953541990891265</v>
      </c>
      <c r="O7">
        <f t="shared" si="3"/>
        <v>3.2092772384034456</v>
      </c>
      <c r="P7">
        <f t="shared" si="4"/>
        <v>-0.57321521625846494</v>
      </c>
      <c r="Q7">
        <f t="shared" si="5"/>
        <v>8.43348091925014E-2</v>
      </c>
      <c r="R7">
        <f t="shared" si="6"/>
        <v>-0.31615554852985878</v>
      </c>
      <c r="S7">
        <f t="shared" si="7"/>
        <v>0.30156815440289503</v>
      </c>
      <c r="T7">
        <f t="shared" si="8"/>
        <v>1.2088650100738636</v>
      </c>
      <c r="U7">
        <f t="shared" si="9"/>
        <v>0.18920282542884539</v>
      </c>
      <c r="W7">
        <f>CORREL(M3:M30,R3:R30)</f>
        <v>0.39686510484192167</v>
      </c>
      <c r="X7" t="s">
        <v>81</v>
      </c>
    </row>
    <row r="8" spans="1:27" x14ac:dyDescent="0.3">
      <c r="A8" t="s">
        <v>33</v>
      </c>
      <c r="B8">
        <v>2021</v>
      </c>
      <c r="C8" t="s">
        <v>39</v>
      </c>
      <c r="D8">
        <v>160.69999999999999</v>
      </c>
      <c r="E8">
        <v>1758</v>
      </c>
      <c r="F8">
        <v>389</v>
      </c>
      <c r="G8">
        <v>191.2</v>
      </c>
      <c r="H8">
        <v>477.29999999999995</v>
      </c>
      <c r="I8">
        <v>317.3</v>
      </c>
      <c r="J8">
        <v>167</v>
      </c>
      <c r="K8">
        <v>153.1</v>
      </c>
      <c r="L8">
        <v>800.1</v>
      </c>
      <c r="M8">
        <f t="shared" si="1"/>
        <v>0.56320400500624357</v>
      </c>
      <c r="N8">
        <f t="shared" si="2"/>
        <v>0.38830516217451932</v>
      </c>
      <c r="O8">
        <f t="shared" si="3"/>
        <v>1.6461980663705282</v>
      </c>
      <c r="P8">
        <f t="shared" si="4"/>
        <v>0.20964360587000905</v>
      </c>
      <c r="Q8">
        <f t="shared" si="5"/>
        <v>0.54771434590266821</v>
      </c>
      <c r="R8">
        <f t="shared" si="6"/>
        <v>0.6343165239454488</v>
      </c>
      <c r="S8">
        <f t="shared" si="7"/>
        <v>0.42092603728201361</v>
      </c>
      <c r="T8">
        <f t="shared" si="8"/>
        <v>1.5925680159256841</v>
      </c>
      <c r="U8">
        <f t="shared" si="9"/>
        <v>0.73020269419615624</v>
      </c>
      <c r="W8">
        <f>CORREL(M3:M30,S3:S30)</f>
        <v>0.46337608498581095</v>
      </c>
      <c r="X8" t="s">
        <v>82</v>
      </c>
    </row>
    <row r="9" spans="1:27" x14ac:dyDescent="0.3">
      <c r="A9" t="s">
        <v>33</v>
      </c>
      <c r="B9">
        <v>2021</v>
      </c>
      <c r="C9" t="s">
        <v>40</v>
      </c>
      <c r="D9">
        <v>162.6</v>
      </c>
      <c r="E9">
        <v>1765.2</v>
      </c>
      <c r="F9">
        <v>376.8</v>
      </c>
      <c r="G9">
        <v>192.1</v>
      </c>
      <c r="H9">
        <v>483</v>
      </c>
      <c r="I9">
        <v>319.60000000000002</v>
      </c>
      <c r="J9">
        <v>168.4</v>
      </c>
      <c r="K9">
        <v>154</v>
      </c>
      <c r="L9">
        <v>804.59999999999991</v>
      </c>
      <c r="M9">
        <f t="shared" si="1"/>
        <v>1.1823273179838243</v>
      </c>
      <c r="N9">
        <f t="shared" si="2"/>
        <v>0.40955631399317666</v>
      </c>
      <c r="O9">
        <f t="shared" si="3"/>
        <v>-3.136246786632388</v>
      </c>
      <c r="P9">
        <f t="shared" si="4"/>
        <v>0.47071129707113268</v>
      </c>
      <c r="Q9">
        <f t="shared" si="5"/>
        <v>1.1942174732872504</v>
      </c>
      <c r="R9">
        <f t="shared" si="6"/>
        <v>0.72486605735896981</v>
      </c>
      <c r="T9">
        <f t="shared" si="8"/>
        <v>0.58785107772697953</v>
      </c>
      <c r="U9">
        <f t="shared" si="9"/>
        <v>0.5624296962879497</v>
      </c>
      <c r="W9">
        <f>CORREL(M3:M30,T3:T30)</f>
        <v>0.67272794901372091</v>
      </c>
      <c r="X9" t="s">
        <v>83</v>
      </c>
    </row>
    <row r="10" spans="1:27" x14ac:dyDescent="0.3">
      <c r="A10" t="s">
        <v>33</v>
      </c>
      <c r="B10">
        <v>2021</v>
      </c>
      <c r="C10" t="s">
        <v>41</v>
      </c>
      <c r="D10">
        <v>162.6</v>
      </c>
      <c r="E10">
        <v>1765.2</v>
      </c>
      <c r="F10">
        <v>376.8</v>
      </c>
      <c r="G10">
        <v>192.1</v>
      </c>
      <c r="H10">
        <v>483.2</v>
      </c>
      <c r="I10">
        <v>319.60000000000002</v>
      </c>
      <c r="J10">
        <v>168.4</v>
      </c>
      <c r="K10">
        <v>154</v>
      </c>
      <c r="L10">
        <v>804.59999999999991</v>
      </c>
      <c r="M10">
        <f t="shared" si="1"/>
        <v>0</v>
      </c>
      <c r="N10">
        <f t="shared" si="2"/>
        <v>0</v>
      </c>
      <c r="O10">
        <f t="shared" si="3"/>
        <v>0</v>
      </c>
      <c r="P10">
        <f t="shared" si="4"/>
        <v>0</v>
      </c>
      <c r="Q10">
        <f t="shared" si="5"/>
        <v>4.1407867494821664E-2</v>
      </c>
      <c r="R10">
        <f t="shared" si="6"/>
        <v>0</v>
      </c>
      <c r="S10">
        <f t="shared" si="7"/>
        <v>0</v>
      </c>
      <c r="T10">
        <f t="shared" si="8"/>
        <v>0</v>
      </c>
      <c r="U10">
        <f t="shared" si="9"/>
        <v>0</v>
      </c>
      <c r="W10">
        <f>CORREL(M3:M30,U3:U30)</f>
        <v>0.34458870228554789</v>
      </c>
      <c r="X10" t="s">
        <v>84</v>
      </c>
    </row>
    <row r="11" spans="1:27" x14ac:dyDescent="0.3">
      <c r="A11" t="s">
        <v>33</v>
      </c>
      <c r="B11">
        <v>2021</v>
      </c>
      <c r="C11" t="s">
        <v>42</v>
      </c>
      <c r="D11">
        <v>164.2</v>
      </c>
      <c r="E11">
        <v>1799.7000000000003</v>
      </c>
      <c r="F11">
        <v>375.79999999999995</v>
      </c>
      <c r="G11">
        <v>192.7</v>
      </c>
      <c r="H11">
        <v>486.3</v>
      </c>
      <c r="I11">
        <v>322</v>
      </c>
      <c r="J11">
        <v>169.1</v>
      </c>
      <c r="K11">
        <v>155.69999999999999</v>
      </c>
      <c r="L11">
        <v>809.8</v>
      </c>
      <c r="M11">
        <f t="shared" si="1"/>
        <v>0.98400984009839754</v>
      </c>
      <c r="N11">
        <f t="shared" si="2"/>
        <v>1.9544527532291085</v>
      </c>
      <c r="O11">
        <f t="shared" si="3"/>
        <v>-0.26539278131636329</v>
      </c>
      <c r="P11">
        <f t="shared" si="4"/>
        <v>0.31233732431025213</v>
      </c>
      <c r="Q11">
        <f t="shared" si="5"/>
        <v>0.64155629139073322</v>
      </c>
      <c r="R11">
        <f t="shared" si="6"/>
        <v>0.75093867334166997</v>
      </c>
      <c r="S11">
        <f t="shared" si="7"/>
        <v>0.41567695961994572</v>
      </c>
      <c r="T11">
        <f t="shared" si="8"/>
        <v>1.1038961038960964</v>
      </c>
      <c r="U11">
        <f t="shared" si="9"/>
        <v>0.64628386776038349</v>
      </c>
    </row>
    <row r="12" spans="1:27" x14ac:dyDescent="0.3">
      <c r="A12" t="s">
        <v>33</v>
      </c>
      <c r="B12">
        <v>2021</v>
      </c>
      <c r="C12" t="s">
        <v>44</v>
      </c>
      <c r="D12">
        <v>163.9</v>
      </c>
      <c r="E12">
        <v>1819.5</v>
      </c>
      <c r="F12">
        <v>374.6</v>
      </c>
      <c r="G12">
        <v>192.9</v>
      </c>
      <c r="H12">
        <v>490.40000000000003</v>
      </c>
      <c r="I12">
        <v>323.5</v>
      </c>
      <c r="J12">
        <v>169.9</v>
      </c>
      <c r="K12">
        <v>154.80000000000001</v>
      </c>
      <c r="L12">
        <v>814.40000000000009</v>
      </c>
      <c r="M12">
        <f t="shared" si="1"/>
        <v>-0.18270401948841836</v>
      </c>
      <c r="N12">
        <f t="shared" si="2"/>
        <v>1.1001833638939669</v>
      </c>
      <c r="O12">
        <f t="shared" si="3"/>
        <v>-0.31931878658859286</v>
      </c>
      <c r="P12">
        <f t="shared" si="4"/>
        <v>0.10378827192528131</v>
      </c>
      <c r="Q12">
        <f t="shared" si="5"/>
        <v>0.84310096648160038</v>
      </c>
      <c r="R12">
        <f t="shared" si="6"/>
        <v>0.46583850931677018</v>
      </c>
      <c r="S12">
        <f t="shared" si="7"/>
        <v>0.47309284447073408</v>
      </c>
      <c r="T12">
        <f t="shared" si="8"/>
        <v>-0.57803468208091024</v>
      </c>
      <c r="U12">
        <f t="shared" si="9"/>
        <v>0.56804149172636897</v>
      </c>
    </row>
    <row r="13" spans="1:27" x14ac:dyDescent="0.3">
      <c r="A13" t="s">
        <v>33</v>
      </c>
      <c r="B13">
        <v>2021</v>
      </c>
      <c r="C13" t="s">
        <v>45</v>
      </c>
      <c r="D13">
        <v>164.1</v>
      </c>
      <c r="E13">
        <v>1804.2000000000003</v>
      </c>
      <c r="F13">
        <v>376.70000000000005</v>
      </c>
      <c r="G13">
        <v>192.4</v>
      </c>
      <c r="H13">
        <v>494.2</v>
      </c>
      <c r="I13">
        <v>323.60000000000002</v>
      </c>
      <c r="J13">
        <v>170.6</v>
      </c>
      <c r="K13">
        <v>155.69999999999999</v>
      </c>
      <c r="L13">
        <v>815.8</v>
      </c>
      <c r="M13">
        <f t="shared" si="1"/>
        <v>0.12202562538132314</v>
      </c>
      <c r="N13">
        <f t="shared" si="2"/>
        <v>-0.84089035449297755</v>
      </c>
      <c r="O13">
        <f t="shared" si="3"/>
        <v>0.56059797116925325</v>
      </c>
      <c r="P13">
        <f t="shared" si="4"/>
        <v>-0.25920165889061691</v>
      </c>
      <c r="Q13">
        <f t="shared" si="5"/>
        <v>0.77487765089721738</v>
      </c>
      <c r="R13">
        <f t="shared" si="6"/>
        <v>3.0911901081923564E-2</v>
      </c>
      <c r="S13">
        <f t="shared" si="7"/>
        <v>0.41200706297821577</v>
      </c>
      <c r="T13">
        <f t="shared" si="8"/>
        <v>0.58139534883719457</v>
      </c>
      <c r="U13">
        <f t="shared" si="9"/>
        <v>0.17190569744595571</v>
      </c>
    </row>
    <row r="14" spans="1:27" x14ac:dyDescent="0.3">
      <c r="A14" t="s">
        <v>33</v>
      </c>
      <c r="B14">
        <v>2022</v>
      </c>
      <c r="C14" t="s">
        <v>31</v>
      </c>
      <c r="D14">
        <v>164.2</v>
      </c>
      <c r="E14">
        <v>1786.6999999999998</v>
      </c>
      <c r="F14">
        <v>377.5</v>
      </c>
      <c r="G14">
        <v>192.2</v>
      </c>
      <c r="H14">
        <v>499.1</v>
      </c>
      <c r="I14">
        <v>325.60000000000002</v>
      </c>
      <c r="J14">
        <v>171.4</v>
      </c>
      <c r="K14">
        <v>156.5</v>
      </c>
      <c r="L14">
        <v>817.3</v>
      </c>
      <c r="M14">
        <f t="shared" si="1"/>
        <v>6.0938452163311584E-2</v>
      </c>
      <c r="N14">
        <f t="shared" si="2"/>
        <v>-0.96995898459153373</v>
      </c>
      <c r="O14">
        <f t="shared" si="3"/>
        <v>0.2123705866737336</v>
      </c>
      <c r="P14">
        <f t="shared" si="4"/>
        <v>-0.10395010395011281</v>
      </c>
      <c r="Q14">
        <f t="shared" si="5"/>
        <v>0.99150141643060186</v>
      </c>
      <c r="R14">
        <f t="shared" si="6"/>
        <v>0.61804697156983934</v>
      </c>
      <c r="S14">
        <f t="shared" si="7"/>
        <v>0.46893317702228099</v>
      </c>
      <c r="T14">
        <f t="shared" si="8"/>
        <v>0.51380860629416281</v>
      </c>
      <c r="U14">
        <f t="shared" si="9"/>
        <v>0.18386859524393234</v>
      </c>
    </row>
    <row r="15" spans="1:27" x14ac:dyDescent="0.3">
      <c r="A15" t="s">
        <v>33</v>
      </c>
      <c r="B15">
        <v>2022</v>
      </c>
      <c r="C15" t="s">
        <v>34</v>
      </c>
      <c r="D15">
        <v>165.7</v>
      </c>
      <c r="E15">
        <v>1784.8000000000002</v>
      </c>
      <c r="F15">
        <v>376.4</v>
      </c>
      <c r="G15">
        <v>192.8</v>
      </c>
      <c r="H15">
        <v>502.80000000000007</v>
      </c>
      <c r="I15">
        <v>327.3</v>
      </c>
      <c r="J15">
        <v>172.2</v>
      </c>
      <c r="K15">
        <v>156.9</v>
      </c>
      <c r="L15">
        <v>821.5</v>
      </c>
      <c r="M15">
        <f t="shared" si="1"/>
        <v>0.91352009744214369</v>
      </c>
      <c r="N15">
        <f t="shared" si="2"/>
        <v>-0.10634129960259901</v>
      </c>
      <c r="O15">
        <f t="shared" si="3"/>
        <v>-0.29139072847682723</v>
      </c>
      <c r="P15">
        <f t="shared" si="4"/>
        <v>0.31217481789803475</v>
      </c>
      <c r="Q15">
        <f t="shared" si="5"/>
        <v>0.74133440192347133</v>
      </c>
      <c r="R15">
        <f t="shared" si="6"/>
        <v>0.52211302211301858</v>
      </c>
      <c r="S15">
        <f t="shared" si="7"/>
        <v>0.46674445740955833</v>
      </c>
      <c r="T15">
        <f t="shared" si="8"/>
        <v>0.25559105431310269</v>
      </c>
      <c r="U15">
        <f t="shared" si="9"/>
        <v>0.51388718952649526</v>
      </c>
    </row>
    <row r="16" spans="1:27" x14ac:dyDescent="0.3">
      <c r="A16" t="s">
        <v>33</v>
      </c>
      <c r="B16">
        <v>2022</v>
      </c>
      <c r="C16" t="s">
        <v>35</v>
      </c>
      <c r="D16">
        <v>167.2</v>
      </c>
      <c r="E16">
        <v>1805.7</v>
      </c>
      <c r="F16">
        <v>378.5</v>
      </c>
      <c r="G16">
        <v>193.7</v>
      </c>
      <c r="H16">
        <v>507.79999999999995</v>
      </c>
      <c r="I16">
        <v>328.1</v>
      </c>
      <c r="J16">
        <v>173</v>
      </c>
      <c r="K16">
        <v>157.9</v>
      </c>
      <c r="L16">
        <v>828.8</v>
      </c>
      <c r="M16">
        <f t="shared" si="1"/>
        <v>0.9052504526252263</v>
      </c>
      <c r="N16">
        <f t="shared" si="2"/>
        <v>1.1709995517704987</v>
      </c>
      <c r="O16">
        <f t="shared" si="3"/>
        <v>0.55791710945802953</v>
      </c>
      <c r="P16">
        <f t="shared" si="4"/>
        <v>0.46680497925310022</v>
      </c>
      <c r="Q16">
        <f t="shared" si="5"/>
        <v>0.99443118536195019</v>
      </c>
      <c r="R16">
        <f t="shared" si="6"/>
        <v>0.24442407577146696</v>
      </c>
      <c r="S16">
        <f t="shared" si="7"/>
        <v>0.46457607433217851</v>
      </c>
      <c r="T16">
        <f t="shared" si="8"/>
        <v>0.63734862970044615</v>
      </c>
      <c r="U16">
        <f t="shared" si="9"/>
        <v>0.88861838101034141</v>
      </c>
    </row>
    <row r="17" spans="1:21" x14ac:dyDescent="0.3">
      <c r="A17" t="s">
        <v>33</v>
      </c>
      <c r="B17">
        <v>2022</v>
      </c>
      <c r="C17" t="s">
        <v>36</v>
      </c>
      <c r="D17">
        <v>172.2</v>
      </c>
      <c r="E17">
        <v>1838</v>
      </c>
      <c r="F17">
        <v>376.3</v>
      </c>
      <c r="G17">
        <v>193.9</v>
      </c>
      <c r="H17">
        <v>513.20000000000005</v>
      </c>
      <c r="I17">
        <v>331</v>
      </c>
      <c r="J17">
        <v>174</v>
      </c>
      <c r="K17">
        <v>162.6</v>
      </c>
      <c r="L17">
        <v>837.00000000000011</v>
      </c>
      <c r="M17">
        <f t="shared" si="1"/>
        <v>2.9904306220095696</v>
      </c>
      <c r="N17">
        <f t="shared" si="2"/>
        <v>1.7887799745251125</v>
      </c>
      <c r="O17">
        <f t="shared" si="3"/>
        <v>-0.58124174372522819</v>
      </c>
      <c r="P17">
        <f t="shared" si="4"/>
        <v>0.10325245224574965</v>
      </c>
      <c r="Q17">
        <f t="shared" si="5"/>
        <v>1.063410791650274</v>
      </c>
      <c r="R17">
        <f t="shared" si="6"/>
        <v>0.88387686680889266</v>
      </c>
      <c r="S17">
        <f t="shared" si="7"/>
        <v>0.57803468208092479</v>
      </c>
      <c r="T17">
        <f t="shared" si="8"/>
        <v>2.9765674477517345</v>
      </c>
      <c r="U17">
        <f t="shared" si="9"/>
        <v>0.98938223938225855</v>
      </c>
    </row>
    <row r="18" spans="1:21" x14ac:dyDescent="0.3">
      <c r="A18" t="s">
        <v>33</v>
      </c>
      <c r="B18">
        <v>2022</v>
      </c>
      <c r="C18" t="s">
        <v>37</v>
      </c>
      <c r="D18">
        <v>174.6</v>
      </c>
      <c r="E18">
        <v>1859.5</v>
      </c>
      <c r="F18">
        <v>379.4</v>
      </c>
      <c r="G18">
        <v>194.1</v>
      </c>
      <c r="H18">
        <v>518.6</v>
      </c>
      <c r="I18">
        <v>332.7</v>
      </c>
      <c r="J18">
        <v>174.8</v>
      </c>
      <c r="K18">
        <v>163</v>
      </c>
      <c r="L18">
        <v>840.59999999999991</v>
      </c>
      <c r="M18">
        <f t="shared" si="1"/>
        <v>1.3937282229965191</v>
      </c>
      <c r="N18">
        <f t="shared" si="2"/>
        <v>1.1697497279651796</v>
      </c>
      <c r="O18">
        <f t="shared" si="3"/>
        <v>0.82381078926387608</v>
      </c>
      <c r="P18">
        <f t="shared" si="4"/>
        <v>0.10314595152139691</v>
      </c>
      <c r="Q18">
        <f t="shared" si="5"/>
        <v>1.05222135619641</v>
      </c>
      <c r="R18">
        <f t="shared" si="6"/>
        <v>0.51359516616313861</v>
      </c>
      <c r="S18">
        <f t="shared" si="7"/>
        <v>0.45977011494253522</v>
      </c>
      <c r="T18">
        <f t="shared" si="8"/>
        <v>0.24600246002460377</v>
      </c>
      <c r="U18">
        <f t="shared" si="9"/>
        <v>0.4301075268816959</v>
      </c>
    </row>
    <row r="19" spans="1:21" x14ac:dyDescent="0.3">
      <c r="A19" t="s">
        <v>33</v>
      </c>
      <c r="B19">
        <v>2022</v>
      </c>
      <c r="C19" t="s">
        <v>38</v>
      </c>
      <c r="D19">
        <v>176</v>
      </c>
      <c r="E19">
        <v>1871.7000000000003</v>
      </c>
      <c r="F19">
        <v>390.20000000000005</v>
      </c>
      <c r="G19">
        <v>194.3</v>
      </c>
      <c r="H19">
        <v>523</v>
      </c>
      <c r="I19">
        <v>333.20000000000005</v>
      </c>
      <c r="J19">
        <v>175.4</v>
      </c>
      <c r="K19">
        <v>161.1</v>
      </c>
      <c r="L19">
        <v>844.30000000000007</v>
      </c>
      <c r="M19">
        <f t="shared" si="1"/>
        <v>0.80183276059565045</v>
      </c>
      <c r="N19">
        <f t="shared" si="2"/>
        <v>0.65609034686745216</v>
      </c>
      <c r="O19">
        <f t="shared" si="3"/>
        <v>2.8465998945703923</v>
      </c>
      <c r="P19">
        <f t="shared" si="4"/>
        <v>0.10303967027306392</v>
      </c>
      <c r="Q19">
        <f t="shared" si="5"/>
        <v>0.8484381025838752</v>
      </c>
      <c r="R19">
        <f t="shared" si="6"/>
        <v>0.15028554253082563</v>
      </c>
      <c r="S19">
        <f t="shared" si="7"/>
        <v>0.34324942791761687</v>
      </c>
      <c r="T19">
        <f t="shared" si="8"/>
        <v>-1.1656441717791446</v>
      </c>
      <c r="U19">
        <f t="shared" si="9"/>
        <v>0.4401617891982107</v>
      </c>
    </row>
    <row r="20" spans="1:21" x14ac:dyDescent="0.3">
      <c r="A20" t="s">
        <v>33</v>
      </c>
      <c r="B20">
        <v>2022</v>
      </c>
      <c r="C20" t="s">
        <v>39</v>
      </c>
      <c r="D20">
        <v>179.6</v>
      </c>
      <c r="E20">
        <v>1878.1000000000004</v>
      </c>
      <c r="F20">
        <v>388.2</v>
      </c>
      <c r="G20">
        <v>194.6</v>
      </c>
      <c r="H20">
        <v>526.90000000000009</v>
      </c>
      <c r="I20">
        <v>335.20000000000005</v>
      </c>
      <c r="J20">
        <v>176.1</v>
      </c>
      <c r="K20">
        <v>161.6</v>
      </c>
      <c r="L20">
        <v>849.2</v>
      </c>
      <c r="M20">
        <f t="shared" si="1"/>
        <v>2.0454545454545423</v>
      </c>
      <c r="N20">
        <f t="shared" si="2"/>
        <v>0.34193513917829194</v>
      </c>
      <c r="O20">
        <f t="shared" si="3"/>
        <v>-0.51255766273707248</v>
      </c>
      <c r="P20">
        <f t="shared" si="4"/>
        <v>0.15440041173442251</v>
      </c>
      <c r="Q20">
        <f t="shared" si="5"/>
        <v>0.74569789674953946</v>
      </c>
      <c r="R20">
        <f t="shared" si="6"/>
        <v>0.60024009603841533</v>
      </c>
      <c r="S20">
        <f t="shared" si="7"/>
        <v>0.39908779931584298</v>
      </c>
      <c r="T20">
        <f t="shared" si="8"/>
        <v>0.31036623215394166</v>
      </c>
      <c r="U20">
        <f t="shared" si="9"/>
        <v>0.58036243041572633</v>
      </c>
    </row>
    <row r="21" spans="1:21" x14ac:dyDescent="0.3">
      <c r="A21" t="s">
        <v>33</v>
      </c>
      <c r="B21">
        <v>2022</v>
      </c>
      <c r="C21" t="s">
        <v>40</v>
      </c>
      <c r="D21">
        <v>178.8</v>
      </c>
      <c r="E21">
        <v>1893.4999999999998</v>
      </c>
      <c r="F21">
        <v>375.7</v>
      </c>
      <c r="G21">
        <v>195</v>
      </c>
      <c r="H21">
        <v>530.70000000000005</v>
      </c>
      <c r="I21">
        <v>337.5</v>
      </c>
      <c r="J21">
        <v>176.8</v>
      </c>
      <c r="K21">
        <v>161.9</v>
      </c>
      <c r="L21">
        <v>853.8</v>
      </c>
      <c r="M21">
        <f t="shared" si="1"/>
        <v>-0.44543429844097049</v>
      </c>
      <c r="N21">
        <f t="shared" si="2"/>
        <v>0.81997763697350545</v>
      </c>
      <c r="O21">
        <f t="shared" si="3"/>
        <v>-3.219989696032973</v>
      </c>
      <c r="P21">
        <f t="shared" si="4"/>
        <v>0.20554984583761854</v>
      </c>
      <c r="Q21">
        <f t="shared" si="5"/>
        <v>0.72119946858985651</v>
      </c>
      <c r="R21">
        <f t="shared" si="6"/>
        <v>0.68615751789974766</v>
      </c>
      <c r="S21">
        <f t="shared" si="7"/>
        <v>0.397501419647937</v>
      </c>
      <c r="T21">
        <f t="shared" si="8"/>
        <v>0.18564356435644269</v>
      </c>
      <c r="U21">
        <f t="shared" si="9"/>
        <v>0.54168629298161897</v>
      </c>
    </row>
    <row r="22" spans="1:21" x14ac:dyDescent="0.3">
      <c r="A22" t="s">
        <v>33</v>
      </c>
      <c r="B22">
        <v>2022</v>
      </c>
      <c r="C22" t="s">
        <v>41</v>
      </c>
      <c r="D22">
        <v>179.5</v>
      </c>
      <c r="E22">
        <v>1901.9999999999998</v>
      </c>
      <c r="F22">
        <v>378.9</v>
      </c>
      <c r="G22">
        <v>195.9</v>
      </c>
      <c r="H22">
        <v>535.1</v>
      </c>
      <c r="I22">
        <v>339</v>
      </c>
      <c r="J22">
        <v>177.8</v>
      </c>
      <c r="K22">
        <v>162.30000000000001</v>
      </c>
      <c r="L22">
        <v>856.59999999999991</v>
      </c>
      <c r="M22">
        <f t="shared" si="1"/>
        <v>0.39149888143176093</v>
      </c>
      <c r="N22">
        <f t="shared" si="2"/>
        <v>0.44890414576181681</v>
      </c>
      <c r="O22">
        <f t="shared" si="3"/>
        <v>0.85174341229704242</v>
      </c>
      <c r="P22">
        <f t="shared" si="4"/>
        <v>0.46153846153846445</v>
      </c>
      <c r="Q22">
        <f t="shared" si="5"/>
        <v>0.82909364989635892</v>
      </c>
      <c r="R22">
        <f t="shared" si="6"/>
        <v>0.44444444444444442</v>
      </c>
      <c r="S22">
        <f t="shared" si="7"/>
        <v>0.56561085972850678</v>
      </c>
      <c r="T22">
        <f t="shared" si="8"/>
        <v>0.2470660901791264</v>
      </c>
      <c r="U22">
        <f t="shared" si="9"/>
        <v>0.32794565472006965</v>
      </c>
    </row>
    <row r="23" spans="1:21" x14ac:dyDescent="0.3">
      <c r="A23" t="s">
        <v>33</v>
      </c>
      <c r="B23">
        <v>2022</v>
      </c>
      <c r="C23" t="s">
        <v>42</v>
      </c>
      <c r="D23">
        <v>180.5</v>
      </c>
      <c r="E23">
        <v>1915.5000000000002</v>
      </c>
      <c r="F23">
        <v>381.8</v>
      </c>
      <c r="G23">
        <v>196.3</v>
      </c>
      <c r="H23">
        <v>538.20000000000005</v>
      </c>
      <c r="I23">
        <v>341.6</v>
      </c>
      <c r="J23">
        <v>178.7</v>
      </c>
      <c r="K23">
        <v>162.9</v>
      </c>
      <c r="L23">
        <v>860.90000000000009</v>
      </c>
      <c r="M23">
        <f t="shared" si="1"/>
        <v>0.55710306406685239</v>
      </c>
      <c r="N23">
        <f t="shared" si="2"/>
        <v>0.70977917981074956</v>
      </c>
      <c r="O23">
        <f t="shared" si="3"/>
        <v>0.76537344945896923</v>
      </c>
      <c r="P23">
        <f t="shared" si="4"/>
        <v>0.20418580908627143</v>
      </c>
      <c r="Q23">
        <f t="shared" si="5"/>
        <v>0.57933096617455104</v>
      </c>
      <c r="R23">
        <f t="shared" si="6"/>
        <v>0.76696165191741084</v>
      </c>
      <c r="S23">
        <f t="shared" si="7"/>
        <v>0.50618672665915476</v>
      </c>
      <c r="T23">
        <f t="shared" si="8"/>
        <v>0.36968576709796319</v>
      </c>
      <c r="U23">
        <f t="shared" si="9"/>
        <v>0.5019845902405069</v>
      </c>
    </row>
    <row r="24" spans="1:21" x14ac:dyDescent="0.3">
      <c r="A24" t="s">
        <v>33</v>
      </c>
      <c r="B24">
        <v>2022</v>
      </c>
      <c r="C24" t="s">
        <v>44</v>
      </c>
      <c r="D24">
        <v>181.3</v>
      </c>
      <c r="E24">
        <v>1906</v>
      </c>
      <c r="F24">
        <v>390.8</v>
      </c>
      <c r="G24">
        <v>196.9</v>
      </c>
      <c r="H24">
        <v>541.4</v>
      </c>
      <c r="I24">
        <v>343.20000000000005</v>
      </c>
      <c r="J24">
        <v>179.8</v>
      </c>
      <c r="K24">
        <v>163</v>
      </c>
      <c r="L24">
        <v>863.4</v>
      </c>
      <c r="M24">
        <f t="shared" si="1"/>
        <v>0.44321329639889823</v>
      </c>
      <c r="N24">
        <f t="shared" si="2"/>
        <v>-0.49595405899244205</v>
      </c>
      <c r="O24">
        <f t="shared" si="3"/>
        <v>2.3572551073860657</v>
      </c>
      <c r="P24">
        <f t="shared" si="4"/>
        <v>0.305654610290369</v>
      </c>
      <c r="Q24">
        <f t="shared" si="5"/>
        <v>0.59457450761797315</v>
      </c>
      <c r="R24">
        <f t="shared" si="6"/>
        <v>0.46838407494145856</v>
      </c>
      <c r="S24">
        <f t="shared" si="7"/>
        <v>0.61555679910465744</v>
      </c>
      <c r="T24">
        <f t="shared" si="8"/>
        <v>6.1387354205030269E-2</v>
      </c>
      <c r="U24">
        <f t="shared" si="9"/>
        <v>0.29039377395747312</v>
      </c>
    </row>
    <row r="25" spans="1:21" x14ac:dyDescent="0.3">
      <c r="A25" t="s">
        <v>33</v>
      </c>
      <c r="B25">
        <v>2022</v>
      </c>
      <c r="C25" t="s">
        <v>45</v>
      </c>
      <c r="D25">
        <v>182</v>
      </c>
      <c r="E25">
        <v>1884.2</v>
      </c>
      <c r="F25">
        <v>399.2</v>
      </c>
      <c r="G25">
        <v>197.3</v>
      </c>
      <c r="H25">
        <v>544</v>
      </c>
      <c r="I25">
        <v>342.79999999999995</v>
      </c>
      <c r="J25">
        <v>181.1</v>
      </c>
      <c r="K25">
        <v>163.4</v>
      </c>
      <c r="L25">
        <v>866.5</v>
      </c>
      <c r="M25">
        <f t="shared" si="1"/>
        <v>0.38610038610037983</v>
      </c>
      <c r="N25">
        <f t="shared" si="2"/>
        <v>-1.1437565582371434</v>
      </c>
      <c r="O25">
        <f t="shared" si="3"/>
        <v>2.1494370522006081</v>
      </c>
      <c r="P25">
        <f t="shared" si="4"/>
        <v>0.20314880650076469</v>
      </c>
      <c r="Q25">
        <f t="shared" si="5"/>
        <v>0.48023642408570799</v>
      </c>
      <c r="R25">
        <f t="shared" si="6"/>
        <v>-0.11655011655014302</v>
      </c>
      <c r="S25">
        <f t="shared" si="7"/>
        <v>0.72302558398219297</v>
      </c>
      <c r="T25">
        <f t="shared" si="8"/>
        <v>0.24539877300613847</v>
      </c>
      <c r="U25">
        <f t="shared" si="9"/>
        <v>0.35904563354181407</v>
      </c>
    </row>
    <row r="26" spans="1:21" x14ac:dyDescent="0.3">
      <c r="A26" t="s">
        <v>33</v>
      </c>
      <c r="B26">
        <v>2023</v>
      </c>
      <c r="C26" t="s">
        <v>31</v>
      </c>
      <c r="D26">
        <v>182</v>
      </c>
      <c r="E26">
        <v>1887.5</v>
      </c>
      <c r="F26">
        <v>412.2</v>
      </c>
      <c r="G26">
        <v>198.2</v>
      </c>
      <c r="H26">
        <v>546.29999999999995</v>
      </c>
      <c r="I26">
        <v>345</v>
      </c>
      <c r="J26">
        <v>182.3</v>
      </c>
      <c r="K26">
        <v>163.6</v>
      </c>
      <c r="L26">
        <v>871.7</v>
      </c>
      <c r="M26">
        <f t="shared" si="1"/>
        <v>0</v>
      </c>
      <c r="N26">
        <f t="shared" si="2"/>
        <v>0.17514064324381459</v>
      </c>
      <c r="O26">
        <f t="shared" si="3"/>
        <v>3.256513026052104</v>
      </c>
      <c r="P26">
        <f t="shared" si="4"/>
        <v>0.45615813482005935</v>
      </c>
      <c r="Q26">
        <f t="shared" si="5"/>
        <v>0.42279411764705049</v>
      </c>
      <c r="R26">
        <f t="shared" si="6"/>
        <v>0.64177362893816969</v>
      </c>
      <c r="S26">
        <f t="shared" si="7"/>
        <v>0.66261733848703319</v>
      </c>
      <c r="T26">
        <f t="shared" si="8"/>
        <v>0.12239902080782657</v>
      </c>
      <c r="U26">
        <f t="shared" si="9"/>
        <v>0.60011540680900699</v>
      </c>
    </row>
    <row r="27" spans="1:21" x14ac:dyDescent="0.3">
      <c r="A27" t="s">
        <v>33</v>
      </c>
      <c r="B27">
        <v>2023</v>
      </c>
      <c r="C27" t="s">
        <v>34</v>
      </c>
      <c r="D27">
        <v>182.1</v>
      </c>
      <c r="E27">
        <v>1896.2</v>
      </c>
      <c r="F27">
        <v>382.9</v>
      </c>
      <c r="G27">
        <v>199.5</v>
      </c>
      <c r="H27">
        <v>550</v>
      </c>
      <c r="I27">
        <v>347.7</v>
      </c>
      <c r="J27">
        <v>184.4</v>
      </c>
      <c r="K27">
        <v>164.2</v>
      </c>
      <c r="L27">
        <v>877.59999999999991</v>
      </c>
      <c r="M27">
        <f t="shared" si="1"/>
        <v>5.4945054945051822E-2</v>
      </c>
      <c r="N27">
        <f t="shared" si="2"/>
        <v>0.46092715231788317</v>
      </c>
      <c r="O27">
        <f t="shared" si="3"/>
        <v>-7.1081999029597318</v>
      </c>
      <c r="P27">
        <f t="shared" si="4"/>
        <v>0.65590312815338625</v>
      </c>
      <c r="Q27">
        <f t="shared" si="5"/>
        <v>0.67728354384038914</v>
      </c>
      <c r="R27">
        <f t="shared" si="6"/>
        <v>0.78260869565217073</v>
      </c>
      <c r="S27">
        <f t="shared" si="7"/>
        <v>1.1519473395501889</v>
      </c>
      <c r="T27">
        <f t="shared" si="8"/>
        <v>0.36674816625916523</v>
      </c>
      <c r="U27">
        <f t="shared" si="9"/>
        <v>0.67683836182171198</v>
      </c>
    </row>
    <row r="28" spans="1:21" x14ac:dyDescent="0.3">
      <c r="A28" t="s">
        <v>33</v>
      </c>
      <c r="B28">
        <v>2023</v>
      </c>
      <c r="C28" t="s">
        <v>35</v>
      </c>
      <c r="D28">
        <v>181.9</v>
      </c>
      <c r="E28">
        <v>1896.3</v>
      </c>
      <c r="F28">
        <v>382.9</v>
      </c>
      <c r="G28">
        <v>199.5</v>
      </c>
      <c r="H28">
        <v>549.9</v>
      </c>
      <c r="I28">
        <v>347.7</v>
      </c>
      <c r="J28">
        <v>184.4</v>
      </c>
      <c r="K28">
        <v>164.2</v>
      </c>
      <c r="L28">
        <v>877.59999999999991</v>
      </c>
      <c r="M28">
        <f t="shared" si="1"/>
        <v>-0.10982976386600145</v>
      </c>
      <c r="N28">
        <f t="shared" si="2"/>
        <v>5.2737053053427407E-3</v>
      </c>
      <c r="O28">
        <f t="shared" si="3"/>
        <v>0</v>
      </c>
      <c r="P28">
        <f t="shared" si="4"/>
        <v>0</v>
      </c>
      <c r="Q28">
        <f t="shared" si="5"/>
        <v>-1.8181818181822317E-2</v>
      </c>
      <c r="R28">
        <f t="shared" si="6"/>
        <v>0</v>
      </c>
      <c r="S28">
        <f t="shared" si="7"/>
        <v>0</v>
      </c>
      <c r="T28">
        <f t="shared" si="8"/>
        <v>0</v>
      </c>
      <c r="U28">
        <f t="shared" si="9"/>
        <v>0</v>
      </c>
    </row>
    <row r="29" spans="1:21" x14ac:dyDescent="0.3">
      <c r="A29" t="s">
        <v>33</v>
      </c>
      <c r="B29">
        <v>2023</v>
      </c>
      <c r="C29" t="s">
        <v>36</v>
      </c>
      <c r="D29">
        <v>181.7</v>
      </c>
      <c r="E29">
        <v>1910.7000000000003</v>
      </c>
      <c r="F29">
        <v>378.9</v>
      </c>
      <c r="G29">
        <v>200.6</v>
      </c>
      <c r="H29">
        <v>551.79999999999995</v>
      </c>
      <c r="I29">
        <v>349.79999999999995</v>
      </c>
      <c r="J29">
        <v>185</v>
      </c>
      <c r="K29">
        <v>164.5</v>
      </c>
      <c r="L29">
        <v>884.2</v>
      </c>
      <c r="M29">
        <f t="shared" si="1"/>
        <v>-0.10995052226499014</v>
      </c>
      <c r="N29">
        <f t="shared" si="2"/>
        <v>0.75937351684861665</v>
      </c>
      <c r="O29">
        <f t="shared" si="3"/>
        <v>-1.044659179942544</v>
      </c>
      <c r="P29">
        <f t="shared" si="4"/>
        <v>0.55137844611528541</v>
      </c>
      <c r="Q29">
        <f t="shared" si="5"/>
        <v>0.34551736679395839</v>
      </c>
      <c r="R29">
        <f t="shared" si="6"/>
        <v>0.60396893874028357</v>
      </c>
      <c r="S29">
        <f t="shared" si="7"/>
        <v>0.32537960954446543</v>
      </c>
      <c r="T29">
        <f t="shared" si="8"/>
        <v>0.18270401948843568</v>
      </c>
      <c r="U29">
        <f t="shared" si="9"/>
        <v>0.75205104831359815</v>
      </c>
    </row>
    <row r="30" spans="1:21" x14ac:dyDescent="0.3">
      <c r="A30" t="s">
        <v>33</v>
      </c>
      <c r="B30">
        <v>2023</v>
      </c>
      <c r="C30" t="s">
        <v>37</v>
      </c>
      <c r="D30">
        <v>182.8</v>
      </c>
      <c r="E30">
        <v>1919.4</v>
      </c>
      <c r="F30">
        <v>387.5</v>
      </c>
      <c r="G30">
        <v>201</v>
      </c>
      <c r="H30">
        <v>553.20000000000005</v>
      </c>
      <c r="I30">
        <v>350.79999999999995</v>
      </c>
      <c r="J30">
        <v>185.7</v>
      </c>
      <c r="K30">
        <v>164.8</v>
      </c>
      <c r="L30">
        <v>888.30000000000007</v>
      </c>
      <c r="M30">
        <f t="shared" si="1"/>
        <v>0.60539350577876871</v>
      </c>
      <c r="N30">
        <f t="shared" si="2"/>
        <v>0.45533050714396905</v>
      </c>
      <c r="O30">
        <f t="shared" si="3"/>
        <v>2.2697281604645085</v>
      </c>
      <c r="P30">
        <f t="shared" si="4"/>
        <v>0.1994017946161544</v>
      </c>
      <c r="Q30">
        <f t="shared" si="5"/>
        <v>0.25371511417181791</v>
      </c>
      <c r="R30">
        <f t="shared" si="6"/>
        <v>0.28587764436821045</v>
      </c>
      <c r="S30">
        <f t="shared" si="7"/>
        <v>0.37837837837837224</v>
      </c>
      <c r="T30">
        <f t="shared" si="8"/>
        <v>0.18237082066869992</v>
      </c>
      <c r="U30">
        <f t="shared" si="9"/>
        <v>0.46369599638091186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All_India_Index_Upto_April23 (1</vt:lpstr>
      <vt:lpstr>BROADER CATEGORIES</vt:lpstr>
      <vt:lpstr>QUESTION 1</vt:lpstr>
      <vt:lpstr>QUESTION 2</vt:lpstr>
      <vt:lpstr>QUESTION 3(a)</vt:lpstr>
      <vt:lpstr>QUESTION 3(b)</vt:lpstr>
      <vt:lpstr>QUESTION 4</vt:lpstr>
      <vt:lpstr>QUESTION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Prasad</dc:creator>
  <cp:lastModifiedBy>Anjali Prasad</cp:lastModifiedBy>
  <dcterms:created xsi:type="dcterms:W3CDTF">2026-04-30T08:30:58Z</dcterms:created>
  <dcterms:modified xsi:type="dcterms:W3CDTF">2026-10-09T05:01:55Z</dcterms:modified>
</cp:coreProperties>
</file>